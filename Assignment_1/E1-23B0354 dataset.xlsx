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E:\repos\DS203\Assignment_1\"/>
    </mc:Choice>
  </mc:AlternateContent>
  <xr:revisionPtr revIDLastSave="0" documentId="13_ncr:1_{829DE926-708E-4B34-A0EF-C0674B2556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 a="1"/>
  <c r="Q6" i="1" s="1"/>
  <c r="J4" i="1"/>
  <c r="D73" i="1" l="1"/>
  <c r="D37" i="1"/>
  <c r="D67" i="1"/>
  <c r="D55" i="1"/>
  <c r="D49" i="1"/>
  <c r="D36" i="1"/>
  <c r="D72" i="1"/>
  <c r="D19" i="1"/>
  <c r="D14" i="1"/>
  <c r="D31" i="1"/>
  <c r="D91" i="1"/>
  <c r="D13" i="1"/>
  <c r="D85" i="1"/>
  <c r="D98" i="1"/>
  <c r="D62" i="1"/>
  <c r="D26" i="1"/>
  <c r="D97" i="1"/>
  <c r="D61" i="1"/>
  <c r="D25" i="1"/>
  <c r="D24" i="1"/>
  <c r="D50" i="1"/>
  <c r="D84" i="1"/>
  <c r="D48" i="1"/>
  <c r="D12" i="1"/>
  <c r="D60" i="1"/>
  <c r="D79" i="1"/>
  <c r="D43" i="1"/>
  <c r="D7" i="1"/>
  <c r="D96" i="1"/>
  <c r="D86" i="1"/>
  <c r="D74" i="1"/>
  <c r="D38" i="1"/>
  <c r="D95" i="1"/>
  <c r="D83" i="1"/>
  <c r="D71" i="1"/>
  <c r="D59" i="1"/>
  <c r="D47" i="1"/>
  <c r="D35" i="1"/>
  <c r="D23" i="1"/>
  <c r="D11" i="1"/>
  <c r="D94" i="1"/>
  <c r="D82" i="1"/>
  <c r="D70" i="1"/>
  <c r="D58" i="1"/>
  <c r="D46" i="1"/>
  <c r="D34" i="1"/>
  <c r="D22" i="1"/>
  <c r="D10" i="1"/>
  <c r="D93" i="1"/>
  <c r="D81" i="1"/>
  <c r="D69" i="1"/>
  <c r="D57" i="1"/>
  <c r="D45" i="1"/>
  <c r="D33" i="1"/>
  <c r="D21" i="1"/>
  <c r="D9" i="1"/>
  <c r="D92" i="1"/>
  <c r="D80" i="1"/>
  <c r="D68" i="1"/>
  <c r="D56" i="1"/>
  <c r="D44" i="1"/>
  <c r="D32" i="1"/>
  <c r="D20" i="1"/>
  <c r="D8" i="1"/>
  <c r="D90" i="1"/>
  <c r="D66" i="1"/>
  <c r="D54" i="1"/>
  <c r="D42" i="1"/>
  <c r="D6" i="1"/>
  <c r="D101" i="1"/>
  <c r="D89" i="1"/>
  <c r="D77" i="1"/>
  <c r="D65" i="1"/>
  <c r="D53" i="1"/>
  <c r="D41" i="1"/>
  <c r="D29" i="1"/>
  <c r="D17" i="1"/>
  <c r="D5" i="1"/>
  <c r="D30" i="1"/>
  <c r="D100" i="1"/>
  <c r="D88" i="1"/>
  <c r="D76" i="1"/>
  <c r="D64" i="1"/>
  <c r="D52" i="1"/>
  <c r="D40" i="1"/>
  <c r="D28" i="1"/>
  <c r="D16" i="1"/>
  <c r="D4" i="1"/>
  <c r="D78" i="1"/>
  <c r="D18" i="1"/>
  <c r="D99" i="1"/>
  <c r="D87" i="1"/>
  <c r="D75" i="1"/>
  <c r="D63" i="1"/>
  <c r="D51" i="1"/>
  <c r="D39" i="1"/>
  <c r="D27" i="1"/>
  <c r="D15" i="1"/>
  <c r="D3" i="1"/>
  <c r="D2" i="1"/>
  <c r="C99" i="1"/>
  <c r="C87" i="1"/>
  <c r="C75" i="1"/>
  <c r="C63" i="1"/>
  <c r="C51" i="1"/>
  <c r="C98" i="1"/>
  <c r="C86" i="1"/>
  <c r="C50" i="1"/>
  <c r="C39" i="1"/>
  <c r="C38" i="1"/>
  <c r="C27" i="1"/>
  <c r="C15" i="1"/>
  <c r="C49" i="1"/>
  <c r="C85" i="1"/>
  <c r="C37" i="1"/>
  <c r="C74" i="1"/>
  <c r="C26" i="1"/>
  <c r="C97" i="1"/>
  <c r="C73" i="1"/>
  <c r="C25" i="1"/>
  <c r="C62" i="1"/>
  <c r="C14" i="1"/>
  <c r="C61" i="1"/>
  <c r="C13" i="1"/>
  <c r="C96" i="1"/>
  <c r="C12" i="1"/>
  <c r="C83" i="1"/>
  <c r="C35" i="1"/>
  <c r="C34" i="1"/>
  <c r="C72" i="1"/>
  <c r="C24" i="1"/>
  <c r="C47" i="1"/>
  <c r="C70" i="1"/>
  <c r="C93" i="1"/>
  <c r="C57" i="1"/>
  <c r="C33" i="1"/>
  <c r="C92" i="1"/>
  <c r="C56" i="1"/>
  <c r="C32" i="1"/>
  <c r="C8" i="1"/>
  <c r="C91" i="1"/>
  <c r="C79" i="1"/>
  <c r="C67" i="1"/>
  <c r="C55" i="1"/>
  <c r="C43" i="1"/>
  <c r="C31" i="1"/>
  <c r="C19" i="1"/>
  <c r="C7" i="1"/>
  <c r="C84" i="1"/>
  <c r="C48" i="1"/>
  <c r="C95" i="1"/>
  <c r="C59" i="1"/>
  <c r="C23" i="1"/>
  <c r="C94" i="1"/>
  <c r="C82" i="1"/>
  <c r="C46" i="1"/>
  <c r="C10" i="1"/>
  <c r="C69" i="1"/>
  <c r="C45" i="1"/>
  <c r="C21" i="1"/>
  <c r="C80" i="1"/>
  <c r="C68" i="1"/>
  <c r="C44" i="1"/>
  <c r="C20" i="1"/>
  <c r="C90" i="1"/>
  <c r="C78" i="1"/>
  <c r="C66" i="1"/>
  <c r="C54" i="1"/>
  <c r="C42" i="1"/>
  <c r="C30" i="1"/>
  <c r="C18" i="1"/>
  <c r="C6" i="1"/>
  <c r="C101" i="1"/>
  <c r="C89" i="1"/>
  <c r="C77" i="1"/>
  <c r="C65" i="1"/>
  <c r="C53" i="1"/>
  <c r="C41" i="1"/>
  <c r="C29" i="1"/>
  <c r="C17" i="1"/>
  <c r="C5" i="1"/>
  <c r="C60" i="1"/>
  <c r="C36" i="1"/>
  <c r="C71" i="1"/>
  <c r="C11" i="1"/>
  <c r="C58" i="1"/>
  <c r="C22" i="1"/>
  <c r="C81" i="1"/>
  <c r="C9" i="1"/>
  <c r="C100" i="1"/>
  <c r="C88" i="1"/>
  <c r="C76" i="1"/>
  <c r="C64" i="1"/>
  <c r="C52" i="1"/>
  <c r="C40" i="1"/>
  <c r="C28" i="1"/>
  <c r="C16" i="1"/>
  <c r="C4" i="1"/>
  <c r="C3" i="1"/>
  <c r="C2" i="1"/>
  <c r="J3" i="1"/>
  <c r="J7" i="1" s="1"/>
  <c r="M7" i="1" l="1"/>
  <c r="N7" i="1" s="1"/>
  <c r="M19" i="1"/>
  <c r="N19" i="1" s="1"/>
  <c r="M31" i="1"/>
  <c r="N31" i="1" s="1"/>
  <c r="M43" i="1"/>
  <c r="N43" i="1" s="1"/>
  <c r="M55" i="1"/>
  <c r="N55" i="1" s="1"/>
  <c r="M67" i="1"/>
  <c r="N67" i="1" s="1"/>
  <c r="M79" i="1"/>
  <c r="N79" i="1" s="1"/>
  <c r="M91" i="1"/>
  <c r="N91" i="1" s="1"/>
  <c r="M8" i="1"/>
  <c r="N8" i="1" s="1"/>
  <c r="M20" i="1"/>
  <c r="N20" i="1" s="1"/>
  <c r="M32" i="1"/>
  <c r="N32" i="1" s="1"/>
  <c r="M56" i="1"/>
  <c r="N56" i="1" s="1"/>
  <c r="M68" i="1"/>
  <c r="N68" i="1" s="1"/>
  <c r="M80" i="1"/>
  <c r="N80" i="1" s="1"/>
  <c r="M92" i="1"/>
  <c r="N92" i="1" s="1"/>
  <c r="M9" i="1"/>
  <c r="N9" i="1" s="1"/>
  <c r="M21" i="1"/>
  <c r="N21" i="1" s="1"/>
  <c r="M33" i="1"/>
  <c r="N33" i="1" s="1"/>
  <c r="M45" i="1"/>
  <c r="N45" i="1" s="1"/>
  <c r="M57" i="1"/>
  <c r="N57" i="1" s="1"/>
  <c r="M69" i="1"/>
  <c r="N69" i="1" s="1"/>
  <c r="M81" i="1"/>
  <c r="N81" i="1" s="1"/>
  <c r="M93" i="1"/>
  <c r="N93" i="1" s="1"/>
  <c r="M25" i="1"/>
  <c r="N25" i="1" s="1"/>
  <c r="M37" i="1"/>
  <c r="N37" i="1" s="1"/>
  <c r="M73" i="1"/>
  <c r="N73" i="1" s="1"/>
  <c r="M97" i="1"/>
  <c r="N97" i="1" s="1"/>
  <c r="M14" i="1"/>
  <c r="N14" i="1" s="1"/>
  <c r="M38" i="1"/>
  <c r="N38" i="1" s="1"/>
  <c r="M86" i="1"/>
  <c r="N86" i="1" s="1"/>
  <c r="M27" i="1"/>
  <c r="N27" i="1" s="1"/>
  <c r="M63" i="1"/>
  <c r="N63" i="1" s="1"/>
  <c r="M99" i="1"/>
  <c r="N99" i="1" s="1"/>
  <c r="M16" i="1"/>
  <c r="N16" i="1" s="1"/>
  <c r="M64" i="1"/>
  <c r="N64" i="1" s="1"/>
  <c r="M100" i="1"/>
  <c r="N100" i="1" s="1"/>
  <c r="M5" i="1"/>
  <c r="N5" i="1" s="1"/>
  <c r="M29" i="1"/>
  <c r="N29" i="1" s="1"/>
  <c r="M65" i="1"/>
  <c r="N65" i="1" s="1"/>
  <c r="M89" i="1"/>
  <c r="N89" i="1" s="1"/>
  <c r="M54" i="1"/>
  <c r="N54" i="1" s="1"/>
  <c r="M90" i="1"/>
  <c r="N90" i="1" s="1"/>
  <c r="M44" i="1"/>
  <c r="N44" i="1" s="1"/>
  <c r="M61" i="1"/>
  <c r="N61" i="1" s="1"/>
  <c r="M74" i="1"/>
  <c r="N74" i="1" s="1"/>
  <c r="M3" i="1"/>
  <c r="N3" i="1" s="1"/>
  <c r="M39" i="1"/>
  <c r="N39" i="1" s="1"/>
  <c r="M75" i="1"/>
  <c r="N75" i="1" s="1"/>
  <c r="M4" i="1"/>
  <c r="N4" i="1" s="1"/>
  <c r="M40" i="1"/>
  <c r="N40" i="1" s="1"/>
  <c r="M76" i="1"/>
  <c r="N76" i="1" s="1"/>
  <c r="M53" i="1"/>
  <c r="N53" i="1" s="1"/>
  <c r="M6" i="1"/>
  <c r="N6" i="1" s="1"/>
  <c r="M30" i="1"/>
  <c r="N30" i="1" s="1"/>
  <c r="M66" i="1"/>
  <c r="N66" i="1" s="1"/>
  <c r="M2" i="1"/>
  <c r="M10" i="1"/>
  <c r="N10" i="1" s="1"/>
  <c r="M22" i="1"/>
  <c r="N22" i="1" s="1"/>
  <c r="M34" i="1"/>
  <c r="N34" i="1" s="1"/>
  <c r="M46" i="1"/>
  <c r="N46" i="1" s="1"/>
  <c r="M58" i="1"/>
  <c r="N58" i="1" s="1"/>
  <c r="M70" i="1"/>
  <c r="N70" i="1" s="1"/>
  <c r="M82" i="1"/>
  <c r="N82" i="1" s="1"/>
  <c r="M94" i="1"/>
  <c r="N94" i="1" s="1"/>
  <c r="M11" i="1"/>
  <c r="N11" i="1" s="1"/>
  <c r="M23" i="1"/>
  <c r="N23" i="1" s="1"/>
  <c r="M35" i="1"/>
  <c r="N35" i="1" s="1"/>
  <c r="M47" i="1"/>
  <c r="N47" i="1" s="1"/>
  <c r="M59" i="1"/>
  <c r="N59" i="1" s="1"/>
  <c r="M71" i="1"/>
  <c r="N71" i="1" s="1"/>
  <c r="M83" i="1"/>
  <c r="N83" i="1" s="1"/>
  <c r="M95" i="1"/>
  <c r="N95" i="1" s="1"/>
  <c r="M12" i="1"/>
  <c r="N12" i="1" s="1"/>
  <c r="M24" i="1"/>
  <c r="N24" i="1" s="1"/>
  <c r="M36" i="1"/>
  <c r="N36" i="1" s="1"/>
  <c r="M48" i="1"/>
  <c r="N48" i="1" s="1"/>
  <c r="M60" i="1"/>
  <c r="N60" i="1" s="1"/>
  <c r="M72" i="1"/>
  <c r="N72" i="1" s="1"/>
  <c r="M84" i="1"/>
  <c r="N84" i="1" s="1"/>
  <c r="M96" i="1"/>
  <c r="N96" i="1" s="1"/>
  <c r="M13" i="1"/>
  <c r="N13" i="1" s="1"/>
  <c r="M49" i="1"/>
  <c r="N49" i="1" s="1"/>
  <c r="M85" i="1"/>
  <c r="N85" i="1" s="1"/>
  <c r="M26" i="1"/>
  <c r="N26" i="1" s="1"/>
  <c r="M50" i="1"/>
  <c r="N50" i="1" s="1"/>
  <c r="M62" i="1"/>
  <c r="N62" i="1" s="1"/>
  <c r="M98" i="1"/>
  <c r="N98" i="1" s="1"/>
  <c r="M15" i="1"/>
  <c r="N15" i="1" s="1"/>
  <c r="M51" i="1"/>
  <c r="N51" i="1" s="1"/>
  <c r="M87" i="1"/>
  <c r="N87" i="1" s="1"/>
  <c r="M28" i="1"/>
  <c r="N28" i="1" s="1"/>
  <c r="M52" i="1"/>
  <c r="N52" i="1" s="1"/>
  <c r="M88" i="1"/>
  <c r="N88" i="1" s="1"/>
  <c r="M17" i="1"/>
  <c r="N17" i="1" s="1"/>
  <c r="M41" i="1"/>
  <c r="N41" i="1" s="1"/>
  <c r="M77" i="1"/>
  <c r="N77" i="1" s="1"/>
  <c r="M101" i="1"/>
  <c r="N101" i="1" s="1"/>
  <c r="M42" i="1"/>
  <c r="N42" i="1" s="1"/>
  <c r="M78" i="1"/>
  <c r="N78" i="1" s="1"/>
  <c r="M18" i="1"/>
  <c r="N18" i="1" s="1"/>
  <c r="J6" i="1"/>
  <c r="J5" i="1"/>
  <c r="N2" i="1" l="1"/>
  <c r="Q5" i="1" s="1"/>
  <c r="J9" i="1"/>
  <c r="J10" i="1"/>
  <c r="E3" i="1" l="1"/>
  <c r="F3" i="1" s="1"/>
  <c r="G3" i="1" s="1"/>
  <c r="E15" i="1"/>
  <c r="F15" i="1" s="1"/>
  <c r="G15" i="1" s="1"/>
  <c r="E27" i="1"/>
  <c r="F27" i="1" s="1"/>
  <c r="G27" i="1" s="1"/>
  <c r="E39" i="1"/>
  <c r="F39" i="1" s="1"/>
  <c r="G39" i="1" s="1"/>
  <c r="E51" i="1"/>
  <c r="F51" i="1" s="1"/>
  <c r="G51" i="1" s="1"/>
  <c r="E63" i="1"/>
  <c r="F63" i="1" s="1"/>
  <c r="G63" i="1" s="1"/>
  <c r="E75" i="1"/>
  <c r="F75" i="1" s="1"/>
  <c r="G75" i="1" s="1"/>
  <c r="E87" i="1"/>
  <c r="F87" i="1" s="1"/>
  <c r="G87" i="1" s="1"/>
  <c r="E99" i="1"/>
  <c r="F99" i="1" s="1"/>
  <c r="G99" i="1" s="1"/>
  <c r="E43" i="1"/>
  <c r="F43" i="1" s="1"/>
  <c r="G43" i="1" s="1"/>
  <c r="E91" i="1"/>
  <c r="F91" i="1" s="1"/>
  <c r="G91" i="1" s="1"/>
  <c r="E68" i="1"/>
  <c r="F68" i="1" s="1"/>
  <c r="G68" i="1" s="1"/>
  <c r="E92" i="1"/>
  <c r="F92" i="1" s="1"/>
  <c r="G92" i="1" s="1"/>
  <c r="E9" i="1"/>
  <c r="F9" i="1" s="1"/>
  <c r="G9" i="1" s="1"/>
  <c r="E81" i="1"/>
  <c r="F81" i="1" s="1"/>
  <c r="G81" i="1" s="1"/>
  <c r="E10" i="1"/>
  <c r="F10" i="1" s="1"/>
  <c r="G10" i="1" s="1"/>
  <c r="E46" i="1"/>
  <c r="F46" i="1" s="1"/>
  <c r="G46" i="1" s="1"/>
  <c r="E94" i="1"/>
  <c r="F94" i="1" s="1"/>
  <c r="G94" i="1" s="1"/>
  <c r="E11" i="1"/>
  <c r="F11" i="1" s="1"/>
  <c r="G11" i="1" s="1"/>
  <c r="E59" i="1"/>
  <c r="F59" i="1" s="1"/>
  <c r="G59" i="1" s="1"/>
  <c r="E71" i="1"/>
  <c r="F71" i="1" s="1"/>
  <c r="G71" i="1" s="1"/>
  <c r="E36" i="1"/>
  <c r="F36" i="1" s="1"/>
  <c r="G36" i="1" s="1"/>
  <c r="E84" i="1"/>
  <c r="F84" i="1" s="1"/>
  <c r="G84" i="1" s="1"/>
  <c r="E13" i="1"/>
  <c r="F13" i="1" s="1"/>
  <c r="G13" i="1" s="1"/>
  <c r="E49" i="1"/>
  <c r="F49" i="1" s="1"/>
  <c r="G49" i="1" s="1"/>
  <c r="E85" i="1"/>
  <c r="F85" i="1" s="1"/>
  <c r="G85" i="1" s="1"/>
  <c r="E50" i="1"/>
  <c r="F50" i="1" s="1"/>
  <c r="G50" i="1" s="1"/>
  <c r="E74" i="1"/>
  <c r="F74" i="1" s="1"/>
  <c r="G74" i="1" s="1"/>
  <c r="E4" i="1"/>
  <c r="F4" i="1" s="1"/>
  <c r="G4" i="1" s="1"/>
  <c r="E16" i="1"/>
  <c r="F16" i="1" s="1"/>
  <c r="G16" i="1" s="1"/>
  <c r="E28" i="1"/>
  <c r="F28" i="1" s="1"/>
  <c r="G28" i="1" s="1"/>
  <c r="E40" i="1"/>
  <c r="F40" i="1" s="1"/>
  <c r="G40" i="1" s="1"/>
  <c r="E52" i="1"/>
  <c r="F52" i="1" s="1"/>
  <c r="G52" i="1" s="1"/>
  <c r="E64" i="1"/>
  <c r="F64" i="1" s="1"/>
  <c r="G64" i="1" s="1"/>
  <c r="E76" i="1"/>
  <c r="F76" i="1" s="1"/>
  <c r="G76" i="1" s="1"/>
  <c r="E88" i="1"/>
  <c r="F88" i="1" s="1"/>
  <c r="G88" i="1" s="1"/>
  <c r="E100" i="1"/>
  <c r="F100" i="1" s="1"/>
  <c r="G100" i="1" s="1"/>
  <c r="E31" i="1"/>
  <c r="F31" i="1" s="1"/>
  <c r="G31" i="1" s="1"/>
  <c r="E79" i="1"/>
  <c r="F79" i="1" s="1"/>
  <c r="G79" i="1" s="1"/>
  <c r="E56" i="1"/>
  <c r="F56" i="1" s="1"/>
  <c r="G56" i="1" s="1"/>
  <c r="E21" i="1"/>
  <c r="F21" i="1" s="1"/>
  <c r="G21" i="1" s="1"/>
  <c r="E93" i="1"/>
  <c r="F93" i="1" s="1"/>
  <c r="G93" i="1" s="1"/>
  <c r="E34" i="1"/>
  <c r="F34" i="1" s="1"/>
  <c r="G34" i="1" s="1"/>
  <c r="E70" i="1"/>
  <c r="F70" i="1" s="1"/>
  <c r="G70" i="1" s="1"/>
  <c r="E23" i="1"/>
  <c r="F23" i="1" s="1"/>
  <c r="G23" i="1" s="1"/>
  <c r="E83" i="1"/>
  <c r="F83" i="1" s="1"/>
  <c r="G83" i="1" s="1"/>
  <c r="E12" i="1"/>
  <c r="F12" i="1" s="1"/>
  <c r="G12" i="1" s="1"/>
  <c r="E60" i="1"/>
  <c r="F60" i="1" s="1"/>
  <c r="G60" i="1" s="1"/>
  <c r="E73" i="1"/>
  <c r="F73" i="1" s="1"/>
  <c r="G73" i="1" s="1"/>
  <c r="E38" i="1"/>
  <c r="F38" i="1" s="1"/>
  <c r="G38" i="1" s="1"/>
  <c r="E86" i="1"/>
  <c r="F86" i="1" s="1"/>
  <c r="G86" i="1" s="1"/>
  <c r="E5" i="1"/>
  <c r="F5" i="1" s="1"/>
  <c r="G5" i="1" s="1"/>
  <c r="E17" i="1"/>
  <c r="F17" i="1" s="1"/>
  <c r="G17" i="1" s="1"/>
  <c r="E29" i="1"/>
  <c r="F29" i="1" s="1"/>
  <c r="G29" i="1" s="1"/>
  <c r="E41" i="1"/>
  <c r="F41" i="1" s="1"/>
  <c r="G41" i="1" s="1"/>
  <c r="E53" i="1"/>
  <c r="F53" i="1" s="1"/>
  <c r="G53" i="1" s="1"/>
  <c r="E65" i="1"/>
  <c r="F65" i="1" s="1"/>
  <c r="G65" i="1" s="1"/>
  <c r="E77" i="1"/>
  <c r="F77" i="1" s="1"/>
  <c r="G77" i="1" s="1"/>
  <c r="E89" i="1"/>
  <c r="F89" i="1" s="1"/>
  <c r="G89" i="1" s="1"/>
  <c r="E101" i="1"/>
  <c r="F101" i="1" s="1"/>
  <c r="G101" i="1" s="1"/>
  <c r="E19" i="1"/>
  <c r="F19" i="1" s="1"/>
  <c r="G19" i="1" s="1"/>
  <c r="E45" i="1"/>
  <c r="F45" i="1" s="1"/>
  <c r="G45" i="1" s="1"/>
  <c r="E69" i="1"/>
  <c r="F69" i="1" s="1"/>
  <c r="G69" i="1" s="1"/>
  <c r="E22" i="1"/>
  <c r="F22" i="1" s="1"/>
  <c r="G22" i="1" s="1"/>
  <c r="E58" i="1"/>
  <c r="F58" i="1" s="1"/>
  <c r="G58" i="1" s="1"/>
  <c r="E47" i="1"/>
  <c r="F47" i="1" s="1"/>
  <c r="G47" i="1" s="1"/>
  <c r="E48" i="1"/>
  <c r="F48" i="1" s="1"/>
  <c r="G48" i="1" s="1"/>
  <c r="E61" i="1"/>
  <c r="F61" i="1" s="1"/>
  <c r="G61" i="1" s="1"/>
  <c r="E26" i="1"/>
  <c r="F26" i="1" s="1"/>
  <c r="G26" i="1" s="1"/>
  <c r="E6" i="1"/>
  <c r="F6" i="1" s="1"/>
  <c r="G6" i="1" s="1"/>
  <c r="E18" i="1"/>
  <c r="F18" i="1" s="1"/>
  <c r="G18" i="1" s="1"/>
  <c r="E30" i="1"/>
  <c r="F30" i="1" s="1"/>
  <c r="G30" i="1" s="1"/>
  <c r="E42" i="1"/>
  <c r="F42" i="1" s="1"/>
  <c r="G42" i="1" s="1"/>
  <c r="E54" i="1"/>
  <c r="F54" i="1" s="1"/>
  <c r="G54" i="1" s="1"/>
  <c r="E66" i="1"/>
  <c r="F66" i="1" s="1"/>
  <c r="G66" i="1" s="1"/>
  <c r="E78" i="1"/>
  <c r="F78" i="1" s="1"/>
  <c r="G78" i="1" s="1"/>
  <c r="E90" i="1"/>
  <c r="F90" i="1" s="1"/>
  <c r="G90" i="1" s="1"/>
  <c r="E7" i="1"/>
  <c r="F7" i="1" s="1"/>
  <c r="G7" i="1" s="1"/>
  <c r="E55" i="1"/>
  <c r="F55" i="1" s="1"/>
  <c r="G55" i="1" s="1"/>
  <c r="E67" i="1"/>
  <c r="F67" i="1" s="1"/>
  <c r="G67" i="1" s="1"/>
  <c r="E44" i="1"/>
  <c r="F44" i="1" s="1"/>
  <c r="G44" i="1" s="1"/>
  <c r="E33" i="1"/>
  <c r="F33" i="1" s="1"/>
  <c r="G33" i="1" s="1"/>
  <c r="E57" i="1"/>
  <c r="F57" i="1" s="1"/>
  <c r="G57" i="1" s="1"/>
  <c r="E82" i="1"/>
  <c r="F82" i="1" s="1"/>
  <c r="G82" i="1" s="1"/>
  <c r="E35" i="1"/>
  <c r="F35" i="1" s="1"/>
  <c r="G35" i="1" s="1"/>
  <c r="E95" i="1"/>
  <c r="F95" i="1" s="1"/>
  <c r="G95" i="1" s="1"/>
  <c r="E24" i="1"/>
  <c r="F24" i="1" s="1"/>
  <c r="G24" i="1" s="1"/>
  <c r="E72" i="1"/>
  <c r="F72" i="1" s="1"/>
  <c r="G72" i="1" s="1"/>
  <c r="E37" i="1"/>
  <c r="F37" i="1" s="1"/>
  <c r="G37" i="1" s="1"/>
  <c r="E97" i="1"/>
  <c r="F97" i="1" s="1"/>
  <c r="G97" i="1" s="1"/>
  <c r="E14" i="1"/>
  <c r="F14" i="1" s="1"/>
  <c r="G14" i="1" s="1"/>
  <c r="E98" i="1"/>
  <c r="F98" i="1" s="1"/>
  <c r="G98" i="1" s="1"/>
  <c r="E8" i="1"/>
  <c r="F8" i="1" s="1"/>
  <c r="G8" i="1" s="1"/>
  <c r="E20" i="1"/>
  <c r="F20" i="1" s="1"/>
  <c r="G20" i="1" s="1"/>
  <c r="E32" i="1"/>
  <c r="F32" i="1" s="1"/>
  <c r="G32" i="1" s="1"/>
  <c r="E80" i="1"/>
  <c r="F80" i="1" s="1"/>
  <c r="G80" i="1" s="1"/>
  <c r="E96" i="1"/>
  <c r="F96" i="1" s="1"/>
  <c r="G96" i="1" s="1"/>
  <c r="E25" i="1"/>
  <c r="F25" i="1" s="1"/>
  <c r="G25" i="1" s="1"/>
  <c r="E62" i="1"/>
  <c r="F62" i="1" s="1"/>
  <c r="G62" i="1" s="1"/>
  <c r="E2" i="1"/>
  <c r="F2" i="1" s="1"/>
  <c r="G2" i="1" l="1"/>
  <c r="J11" i="1" s="1"/>
  <c r="J12" i="1" a="1"/>
  <c r="J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<sst xmlns="http://schemas.openxmlformats.org/spreadsheetml/2006/main" count="52" uniqueCount="48">
  <si>
    <t>x_i</t>
  </si>
  <si>
    <t>y_i</t>
  </si>
  <si>
    <t>x_bar</t>
  </si>
  <si>
    <t>y_bar</t>
  </si>
  <si>
    <t>xy_bar</t>
  </si>
  <si>
    <t>x_sq_bar</t>
  </si>
  <si>
    <t>x_bar_sq</t>
  </si>
  <si>
    <t>xy_i</t>
  </si>
  <si>
    <t>x_sq</t>
  </si>
  <si>
    <t>a</t>
  </si>
  <si>
    <t>b</t>
  </si>
  <si>
    <t>y_predict</t>
  </si>
  <si>
    <t>e_i</t>
  </si>
  <si>
    <t>SSE</t>
  </si>
  <si>
    <t>e_i ^2</t>
  </si>
  <si>
    <t>MAE</t>
  </si>
  <si>
    <t>e_i for y_bar</t>
  </si>
  <si>
    <t xml:space="preserve">e_i_sq for y_bar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</si>
  <si>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</si>
  <si>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</si>
  <si>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</si>
  <si>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</si>
  <si>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</si>
  <si>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</si>
  <si>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</si>
  <si>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</si>
  <si>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</si>
  <si>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</si>
  <si>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</si>
  <si>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</si>
  <si>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</si>
  <si>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</si>
  <si>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</si>
  <si>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</si>
  <si>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</si>
  <si>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</si>
  <si>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</si>
  <si>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</si>
  <si>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</si>
  <si>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</si>
  <si>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</si>
  <si>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</si>
  <si>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</si>
  <si>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</si>
  <si>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0.432613528171689</t>
  </si>
  <si>
    <t>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</si>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</sst>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 vs 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Sheet1!$A$2:$A$101</c:f>
              <c:numCache>
                <c:formatCode>General</c:formatCode>
                <c:ptCount val="100"/>
                <c:pt idx="0">
                  <c:v>0.47461267833281184</c:v>
                </c:pt>
                <c:pt idx="1">
                  <c:v>0.74522111847214556</c:v>
                </c:pt>
                <c:pt idx="2">
                  <c:v>0.78367626103568155</c:v>
                </c:pt>
                <c:pt idx="3">
                  <c:v>0.51424339620781434</c:v>
                </c:pt>
                <c:pt idx="4">
                  <c:v>0.92511887266091608</c:v>
                </c:pt>
                <c:pt idx="5">
                  <c:v>6.2868561759879538E-2</c:v>
                </c:pt>
                <c:pt idx="6">
                  <c:v>0.86055351116304912</c:v>
                </c:pt>
                <c:pt idx="7">
                  <c:v>0.92491119339101657</c:v>
                </c:pt>
                <c:pt idx="8">
                  <c:v>0.93958976531529759</c:v>
                </c:pt>
                <c:pt idx="9">
                  <c:v>0.49099303891136425</c:v>
                </c:pt>
                <c:pt idx="10">
                  <c:v>0.55901797995103142</c:v>
                </c:pt>
                <c:pt idx="11">
                  <c:v>0.27797419771294107</c:v>
                </c:pt>
                <c:pt idx="12">
                  <c:v>0.49466554986470013</c:v>
                </c:pt>
                <c:pt idx="13">
                  <c:v>0.21873346974522323</c:v>
                </c:pt>
                <c:pt idx="14">
                  <c:v>0.4858707521743395</c:v>
                </c:pt>
                <c:pt idx="15">
                  <c:v>0.67262619544158198</c:v>
                </c:pt>
                <c:pt idx="16">
                  <c:v>0.89541318735568853</c:v>
                </c:pt>
                <c:pt idx="17">
                  <c:v>0.90117399798370845</c:v>
                </c:pt>
                <c:pt idx="18">
                  <c:v>0.57335015063459582</c:v>
                </c:pt>
                <c:pt idx="19">
                  <c:v>1.3195462911787748E-2</c:v>
                </c:pt>
                <c:pt idx="20">
                  <c:v>0.89948576606136443</c:v>
                </c:pt>
                <c:pt idx="21">
                  <c:v>0.10526791435160987</c:v>
                </c:pt>
                <c:pt idx="22">
                  <c:v>0.60111915205119459</c:v>
                </c:pt>
                <c:pt idx="23">
                  <c:v>0.89814676899681289</c:v>
                </c:pt>
                <c:pt idx="24">
                  <c:v>0.21785024389596419</c:v>
                </c:pt>
                <c:pt idx="25">
                  <c:v>0.80412804634704094</c:v>
                </c:pt>
                <c:pt idx="26">
                  <c:v>5.2182628990731006E-2</c:v>
                </c:pt>
                <c:pt idx="27">
                  <c:v>0.34701188639554448</c:v>
                </c:pt>
                <c:pt idx="28">
                  <c:v>0.30319294777500083</c:v>
                </c:pt>
                <c:pt idx="29">
                  <c:v>0.12077732837950161</c:v>
                </c:pt>
                <c:pt idx="30">
                  <c:v>0.68691773830175284</c:v>
                </c:pt>
                <c:pt idx="31">
                  <c:v>0.90557687916141583</c:v>
                </c:pt>
                <c:pt idx="32">
                  <c:v>0.3608840837588716</c:v>
                </c:pt>
                <c:pt idx="33">
                  <c:v>0.26058154953358714</c:v>
                </c:pt>
                <c:pt idx="34">
                  <c:v>0.62960827766149974</c:v>
                </c:pt>
                <c:pt idx="35">
                  <c:v>0.83698648622291949</c:v>
                </c:pt>
                <c:pt idx="36">
                  <c:v>0.96827460859766834</c:v>
                </c:pt>
                <c:pt idx="37">
                  <c:v>0.66549198827793632</c:v>
                </c:pt>
                <c:pt idx="38">
                  <c:v>0.97703718225851299</c:v>
                </c:pt>
                <c:pt idx="39">
                  <c:v>0.41721564724490812</c:v>
                </c:pt>
                <c:pt idx="40">
                  <c:v>1.0299258527148969E-2</c:v>
                </c:pt>
                <c:pt idx="41">
                  <c:v>7.8790750021327072E-2</c:v>
                </c:pt>
                <c:pt idx="42">
                  <c:v>0.94522302338630648</c:v>
                </c:pt>
                <c:pt idx="43">
                  <c:v>0.91056158328068904</c:v>
                </c:pt>
                <c:pt idx="44">
                  <c:v>9.4138000062018667E-2</c:v>
                </c:pt>
                <c:pt idx="45">
                  <c:v>0.72863515901828346</c:v>
                </c:pt>
                <c:pt idx="46">
                  <c:v>0.19138347066899153</c:v>
                </c:pt>
                <c:pt idx="47">
                  <c:v>0.56492570581543267</c:v>
                </c:pt>
                <c:pt idx="48">
                  <c:v>0.33617368343396137</c:v>
                </c:pt>
                <c:pt idx="49">
                  <c:v>0.76273205512628295</c:v>
                </c:pt>
                <c:pt idx="50">
                  <c:v>0.50816971447729409</c:v>
                </c:pt>
                <c:pt idx="51">
                  <c:v>5.3946604725891412E-2</c:v>
                </c:pt>
                <c:pt idx="52">
                  <c:v>0.85503758843977617</c:v>
                </c:pt>
                <c:pt idx="53">
                  <c:v>0.29340007608860508</c:v>
                </c:pt>
                <c:pt idx="54">
                  <c:v>0.35411189627530182</c:v>
                </c:pt>
                <c:pt idx="55">
                  <c:v>0.28524098853692414</c:v>
                </c:pt>
                <c:pt idx="56">
                  <c:v>0.14880532665274115</c:v>
                </c:pt>
                <c:pt idx="57">
                  <c:v>0.59314132654639506</c:v>
                </c:pt>
                <c:pt idx="58">
                  <c:v>0.82249087867443393</c:v>
                </c:pt>
                <c:pt idx="59">
                  <c:v>0.86434582925389836</c:v>
                </c:pt>
                <c:pt idx="60">
                  <c:v>0.47931622694976117</c:v>
                </c:pt>
                <c:pt idx="61">
                  <c:v>0.97329157419321743</c:v>
                </c:pt>
                <c:pt idx="62">
                  <c:v>0.18439041582405757</c:v>
                </c:pt>
                <c:pt idx="63">
                  <c:v>0.88039956333210889</c:v>
                </c:pt>
                <c:pt idx="64">
                  <c:v>0.12530690449276005</c:v>
                </c:pt>
                <c:pt idx="65">
                  <c:v>0.5545073286885116</c:v>
                </c:pt>
                <c:pt idx="66">
                  <c:v>0.14523864847476131</c:v>
                </c:pt>
                <c:pt idx="67">
                  <c:v>0.28014076642357622</c:v>
                </c:pt>
                <c:pt idx="68">
                  <c:v>0.69389488361948504</c:v>
                </c:pt>
                <c:pt idx="69">
                  <c:v>0.63038707268410776</c:v>
                </c:pt>
                <c:pt idx="70">
                  <c:v>0.42019968489970938</c:v>
                </c:pt>
                <c:pt idx="71">
                  <c:v>0.53276843023752962</c:v>
                </c:pt>
                <c:pt idx="72">
                  <c:v>0.40668176161430936</c:v>
                </c:pt>
                <c:pt idx="73">
                  <c:v>0.79934438448659162</c:v>
                </c:pt>
                <c:pt idx="74">
                  <c:v>0.86643018871094568</c:v>
                </c:pt>
                <c:pt idx="75">
                  <c:v>0.8322844551991988</c:v>
                </c:pt>
                <c:pt idx="76">
                  <c:v>7.96261296272609E-2</c:v>
                </c:pt>
                <c:pt idx="77">
                  <c:v>0.56647229726526283</c:v>
                </c:pt>
                <c:pt idx="78">
                  <c:v>2.593563781625885E-2</c:v>
                </c:pt>
                <c:pt idx="79">
                  <c:v>0.26533386820579574</c:v>
                </c:pt>
                <c:pt idx="80">
                  <c:v>0.92004747351331806</c:v>
                </c:pt>
                <c:pt idx="81">
                  <c:v>0.81613985411024115</c:v>
                </c:pt>
                <c:pt idx="82">
                  <c:v>1.8552054921190053E-2</c:v>
                </c:pt>
                <c:pt idx="83">
                  <c:v>8.0727016687708097E-2</c:v>
                </c:pt>
                <c:pt idx="84">
                  <c:v>7.2974681620635473E-2</c:v>
                </c:pt>
                <c:pt idx="85">
                  <c:v>0.90909606162409806</c:v>
                </c:pt>
                <c:pt idx="86">
                  <c:v>0.56109074718901319</c:v>
                </c:pt>
                <c:pt idx="87">
                  <c:v>2.3926886226807498E-2</c:v>
                </c:pt>
                <c:pt idx="88">
                  <c:v>0.81651577231612948</c:v>
                </c:pt>
                <c:pt idx="89">
                  <c:v>0.85634176556674302</c:v>
                </c:pt>
                <c:pt idx="90">
                  <c:v>0.26055252619903968</c:v>
                </c:pt>
                <c:pt idx="91">
                  <c:v>0.47633629017683343</c:v>
                </c:pt>
                <c:pt idx="92">
                  <c:v>0.36871659815114866</c:v>
                </c:pt>
                <c:pt idx="93">
                  <c:v>0.79999835530122965</c:v>
                </c:pt>
                <c:pt idx="94">
                  <c:v>0.95699065867861133</c:v>
                </c:pt>
                <c:pt idx="95">
                  <c:v>0.60657373835740036</c:v>
                </c:pt>
                <c:pt idx="96">
                  <c:v>0.87287495648026114</c:v>
                </c:pt>
                <c:pt idx="97">
                  <c:v>0.71668752597343455</c:v>
                </c:pt>
                <c:pt idx="98">
                  <c:v>0.46722425337628815</c:v>
                </c:pt>
                <c:pt idx="99">
                  <c:v>0.41164223720157911</c:v>
                </c:pt>
              </c:numCache>
            </c:numRef>
          </c:xVal>
          <c:yVal>
            <c:numRef>
              <c:f>Sheet1!$B$2:$B$101</c:f>
              <c:numCache>
                <c:formatCode>General</c:formatCode>
                <c:ptCount val="100"/>
                <c:pt idx="0">
                  <c:v>0.43261352817168947</c:v>
                </c:pt>
                <c:pt idx="1">
                  <c:v>0.68255838105838473</c:v>
                </c:pt>
                <c:pt idx="2">
                  <c:v>0.81159721683488995</c:v>
                </c:pt>
                <c:pt idx="3">
                  <c:v>0.44928826598805105</c:v>
                </c:pt>
                <c:pt idx="4">
                  <c:v>0.86794130428388083</c:v>
                </c:pt>
                <c:pt idx="5">
                  <c:v>0.29741795189970854</c:v>
                </c:pt>
                <c:pt idx="6">
                  <c:v>0.76402754131303452</c:v>
                </c:pt>
                <c:pt idx="7">
                  <c:v>0.74947773739281165</c:v>
                </c:pt>
                <c:pt idx="8">
                  <c:v>0.7151493458843915</c:v>
                </c:pt>
                <c:pt idx="9">
                  <c:v>0.55277454957131644</c:v>
                </c:pt>
                <c:pt idx="10">
                  <c:v>0.51264586426313941</c:v>
                </c:pt>
                <c:pt idx="11">
                  <c:v>0.44443129482786581</c:v>
                </c:pt>
                <c:pt idx="12">
                  <c:v>0.53955192950192554</c:v>
                </c:pt>
                <c:pt idx="13">
                  <c:v>0.38664960613827359</c:v>
                </c:pt>
                <c:pt idx="14">
                  <c:v>0.4110178911656247</c:v>
                </c:pt>
                <c:pt idx="15">
                  <c:v>0.67884863511012072</c:v>
                </c:pt>
                <c:pt idx="16">
                  <c:v>0.66622186483878487</c:v>
                </c:pt>
                <c:pt idx="17">
                  <c:v>0.65212629441323466</c:v>
                </c:pt>
                <c:pt idx="18">
                  <c:v>0.46508836143507509</c:v>
                </c:pt>
                <c:pt idx="19">
                  <c:v>0.32092922264735685</c:v>
                </c:pt>
                <c:pt idx="20">
                  <c:v>0.82071530506317469</c:v>
                </c:pt>
                <c:pt idx="21">
                  <c:v>0.23724499811961441</c:v>
                </c:pt>
                <c:pt idx="22">
                  <c:v>0.57958504433401936</c:v>
                </c:pt>
                <c:pt idx="23">
                  <c:v>0.74850171721692704</c:v>
                </c:pt>
                <c:pt idx="24">
                  <c:v>0.3982286802703412</c:v>
                </c:pt>
                <c:pt idx="25">
                  <c:v>0.64716941986068943</c:v>
                </c:pt>
                <c:pt idx="26">
                  <c:v>0.31236087166255921</c:v>
                </c:pt>
                <c:pt idx="27">
                  <c:v>0.44397234580704692</c:v>
                </c:pt>
                <c:pt idx="28">
                  <c:v>0.40420326051101885</c:v>
                </c:pt>
                <c:pt idx="29">
                  <c:v>0.34675238240852235</c:v>
                </c:pt>
                <c:pt idx="30">
                  <c:v>0.53618150477829141</c:v>
                </c:pt>
                <c:pt idx="31">
                  <c:v>0.64908190852237502</c:v>
                </c:pt>
                <c:pt idx="32">
                  <c:v>0.37524509358982872</c:v>
                </c:pt>
                <c:pt idx="33">
                  <c:v>0.43375769225290267</c:v>
                </c:pt>
                <c:pt idx="34">
                  <c:v>0.49173214662897324</c:v>
                </c:pt>
                <c:pt idx="35">
                  <c:v>0.84620067172306823</c:v>
                </c:pt>
                <c:pt idx="36">
                  <c:v>0.73627973022094784</c:v>
                </c:pt>
                <c:pt idx="37">
                  <c:v>0.72127953292732239</c:v>
                </c:pt>
                <c:pt idx="38">
                  <c:v>0.88956105778770467</c:v>
                </c:pt>
                <c:pt idx="39">
                  <c:v>0.43070938875103626</c:v>
                </c:pt>
                <c:pt idx="40">
                  <c:v>0.11219625656864281</c:v>
                </c:pt>
                <c:pt idx="41">
                  <c:v>0.1862403115338091</c:v>
                </c:pt>
                <c:pt idx="42">
                  <c:v>0.91147759087987901</c:v>
                </c:pt>
                <c:pt idx="43">
                  <c:v>0.6891019966363584</c:v>
                </c:pt>
                <c:pt idx="44">
                  <c:v>0.2997489928842863</c:v>
                </c:pt>
                <c:pt idx="45">
                  <c:v>0.59429426000280672</c:v>
                </c:pt>
                <c:pt idx="46">
                  <c:v>0.3083837318453353</c:v>
                </c:pt>
                <c:pt idx="47">
                  <c:v>0.49220889984896032</c:v>
                </c:pt>
                <c:pt idx="48">
                  <c:v>0.33652183987236295</c:v>
                </c:pt>
                <c:pt idx="49">
                  <c:v>0.70275148391952413</c:v>
                </c:pt>
                <c:pt idx="50">
                  <c:v>0.49590623521970506</c:v>
                </c:pt>
                <c:pt idx="51">
                  <c:v>0.25205953656697822</c:v>
                </c:pt>
                <c:pt idx="52">
                  <c:v>0.78195236816211977</c:v>
                </c:pt>
                <c:pt idx="53">
                  <c:v>0.36349865139940168</c:v>
                </c:pt>
                <c:pt idx="54">
                  <c:v>0.45946671617606971</c:v>
                </c:pt>
                <c:pt idx="55">
                  <c:v>0.41370848157554141</c:v>
                </c:pt>
                <c:pt idx="56">
                  <c:v>0.36970110393761968</c:v>
                </c:pt>
                <c:pt idx="57">
                  <c:v>0.55197844751117675</c:v>
                </c:pt>
                <c:pt idx="58">
                  <c:v>0.75865373301830485</c:v>
                </c:pt>
                <c:pt idx="59">
                  <c:v>0.79022351938563629</c:v>
                </c:pt>
                <c:pt idx="60">
                  <c:v>0.42493242548929988</c:v>
                </c:pt>
                <c:pt idx="61">
                  <c:v>0.87371234976016232</c:v>
                </c:pt>
                <c:pt idx="62">
                  <c:v>0.37084690022290512</c:v>
                </c:pt>
                <c:pt idx="63">
                  <c:v>0.77901753074964941</c:v>
                </c:pt>
                <c:pt idx="64">
                  <c:v>0.23224960445334369</c:v>
                </c:pt>
                <c:pt idx="65">
                  <c:v>0.45200995402182964</c:v>
                </c:pt>
                <c:pt idx="66">
                  <c:v>0.27047234402558801</c:v>
                </c:pt>
                <c:pt idx="67">
                  <c:v>0.30736946927796149</c:v>
                </c:pt>
                <c:pt idx="68">
                  <c:v>0.74059637393501387</c:v>
                </c:pt>
                <c:pt idx="69">
                  <c:v>0.65696374730766405</c:v>
                </c:pt>
                <c:pt idx="70">
                  <c:v>0.45500668900069818</c:v>
                </c:pt>
                <c:pt idx="71">
                  <c:v>0.44181511725254541</c:v>
                </c:pt>
                <c:pt idx="72">
                  <c:v>0.49732102891431551</c:v>
                </c:pt>
                <c:pt idx="73">
                  <c:v>0.67077018043836301</c:v>
                </c:pt>
                <c:pt idx="74">
                  <c:v>0.79750737047927767</c:v>
                </c:pt>
                <c:pt idx="75">
                  <c:v>0.71306985210681084</c:v>
                </c:pt>
                <c:pt idx="76">
                  <c:v>0.22749538465698904</c:v>
                </c:pt>
                <c:pt idx="77">
                  <c:v>0.50795291188066205</c:v>
                </c:pt>
                <c:pt idx="78">
                  <c:v>0.19999212692780516</c:v>
                </c:pt>
                <c:pt idx="79">
                  <c:v>0.33876499517480929</c:v>
                </c:pt>
                <c:pt idx="80">
                  <c:v>0.73728055118598435</c:v>
                </c:pt>
                <c:pt idx="81">
                  <c:v>0.6406855392789762</c:v>
                </c:pt>
                <c:pt idx="82">
                  <c:v>0.26381590243427799</c:v>
                </c:pt>
                <c:pt idx="83">
                  <c:v>0.30815921310839012</c:v>
                </c:pt>
                <c:pt idx="84">
                  <c:v>0.25772840172413225</c:v>
                </c:pt>
                <c:pt idx="85">
                  <c:v>0.64810372943867733</c:v>
                </c:pt>
                <c:pt idx="86">
                  <c:v>0.51675555692790198</c:v>
                </c:pt>
                <c:pt idx="87">
                  <c:v>0.13167173308608576</c:v>
                </c:pt>
                <c:pt idx="88">
                  <c:v>0.63161946937716262</c:v>
                </c:pt>
                <c:pt idx="89">
                  <c:v>0.77307095404179105</c:v>
                </c:pt>
                <c:pt idx="90">
                  <c:v>0.33394306034970411</c:v>
                </c:pt>
                <c:pt idx="91">
                  <c:v>0.51704788397609558</c:v>
                </c:pt>
                <c:pt idx="92">
                  <c:v>0.47498722303252572</c:v>
                </c:pt>
                <c:pt idx="93">
                  <c:v>0.73453861724285541</c:v>
                </c:pt>
                <c:pt idx="94">
                  <c:v>0.80097678521929949</c:v>
                </c:pt>
                <c:pt idx="95">
                  <c:v>0.61328241223257818</c:v>
                </c:pt>
                <c:pt idx="96">
                  <c:v>0.8683936499477668</c:v>
                </c:pt>
                <c:pt idx="97">
                  <c:v>0.67150255200813191</c:v>
                </c:pt>
                <c:pt idx="98">
                  <c:v>0.51723516820435411</c:v>
                </c:pt>
                <c:pt idx="99">
                  <c:v>0.35653122715166752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AE-46BC-84E9-CAA407579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785200"/>
        <c:axId val="1359213087"/>
      </c:scatterChart>
      <c:valAx>
        <c:axId val="124378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213087"/>
        <c:crosses val="autoZero"/>
        <c:crossBetween val="midCat"/>
      </c:valAx>
      <c:valAx>
        <c:axId val="135921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78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</a:t>
            </a:r>
            <a:r>
              <a:rPr lang="en-IN" baseline="0"/>
              <a:t> vs y predicted</a:t>
            </a:r>
            <a:endParaRPr lang="en-IN"/>
          </a:p>
        </c:rich>
      </c:tx>
      <c:layout>
        <c:manualLayout>
          <c:xMode val="edge"/>
          <c:yMode val="edge"/>
          <c:x val="0.4150485564304462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yᵢ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0.47461267833281184</c:v>
                </c:pt>
                <c:pt idx="1">
                  <c:v>0.74522111847214556</c:v>
                </c:pt>
                <c:pt idx="2">
                  <c:v>0.78367626103568155</c:v>
                </c:pt>
                <c:pt idx="3">
                  <c:v>0.51424339620781434</c:v>
                </c:pt>
                <c:pt idx="4">
                  <c:v>0.92511887266091608</c:v>
                </c:pt>
                <c:pt idx="5">
                  <c:v>6.2868561759879538E-2</c:v>
                </c:pt>
                <c:pt idx="6">
                  <c:v>0.86055351116304912</c:v>
                </c:pt>
                <c:pt idx="7">
                  <c:v>0.92491119339101657</c:v>
                </c:pt>
                <c:pt idx="8">
                  <c:v>0.93958976531529759</c:v>
                </c:pt>
                <c:pt idx="9">
                  <c:v>0.49099303891136425</c:v>
                </c:pt>
                <c:pt idx="10">
                  <c:v>0.55901797995103142</c:v>
                </c:pt>
                <c:pt idx="11">
                  <c:v>0.27797419771294107</c:v>
                </c:pt>
                <c:pt idx="12">
                  <c:v>0.49466554986470013</c:v>
                </c:pt>
                <c:pt idx="13">
                  <c:v>0.21873346974522323</c:v>
                </c:pt>
                <c:pt idx="14">
                  <c:v>0.4858707521743395</c:v>
                </c:pt>
                <c:pt idx="15">
                  <c:v>0.67262619544158198</c:v>
                </c:pt>
                <c:pt idx="16">
                  <c:v>0.89541318735568853</c:v>
                </c:pt>
                <c:pt idx="17">
                  <c:v>0.90117399798370845</c:v>
                </c:pt>
                <c:pt idx="18">
                  <c:v>0.57335015063459582</c:v>
                </c:pt>
                <c:pt idx="19">
                  <c:v>1.3195462911787748E-2</c:v>
                </c:pt>
                <c:pt idx="20">
                  <c:v>0.89948576606136443</c:v>
                </c:pt>
                <c:pt idx="21">
                  <c:v>0.10526791435160987</c:v>
                </c:pt>
                <c:pt idx="22">
                  <c:v>0.60111915205119459</c:v>
                </c:pt>
                <c:pt idx="23">
                  <c:v>0.89814676899681289</c:v>
                </c:pt>
                <c:pt idx="24">
                  <c:v>0.21785024389596419</c:v>
                </c:pt>
                <c:pt idx="25">
                  <c:v>0.80412804634704094</c:v>
                </c:pt>
                <c:pt idx="26">
                  <c:v>5.2182628990731006E-2</c:v>
                </c:pt>
                <c:pt idx="27">
                  <c:v>0.34701188639554448</c:v>
                </c:pt>
                <c:pt idx="28">
                  <c:v>0.30319294777500083</c:v>
                </c:pt>
                <c:pt idx="29">
                  <c:v>0.12077732837950161</c:v>
                </c:pt>
                <c:pt idx="30">
                  <c:v>0.68691773830175284</c:v>
                </c:pt>
                <c:pt idx="31">
                  <c:v>0.90557687916141583</c:v>
                </c:pt>
                <c:pt idx="32">
                  <c:v>0.3608840837588716</c:v>
                </c:pt>
                <c:pt idx="33">
                  <c:v>0.26058154953358714</c:v>
                </c:pt>
                <c:pt idx="34">
                  <c:v>0.62960827766149974</c:v>
                </c:pt>
                <c:pt idx="35">
                  <c:v>0.83698648622291949</c:v>
                </c:pt>
                <c:pt idx="36">
                  <c:v>0.96827460859766834</c:v>
                </c:pt>
                <c:pt idx="37">
                  <c:v>0.66549198827793632</c:v>
                </c:pt>
                <c:pt idx="38">
                  <c:v>0.97703718225851299</c:v>
                </c:pt>
                <c:pt idx="39">
                  <c:v>0.41721564724490812</c:v>
                </c:pt>
                <c:pt idx="40">
                  <c:v>1.0299258527148969E-2</c:v>
                </c:pt>
                <c:pt idx="41">
                  <c:v>7.8790750021327072E-2</c:v>
                </c:pt>
                <c:pt idx="42">
                  <c:v>0.94522302338630648</c:v>
                </c:pt>
                <c:pt idx="43">
                  <c:v>0.91056158328068904</c:v>
                </c:pt>
                <c:pt idx="44">
                  <c:v>9.4138000062018667E-2</c:v>
                </c:pt>
                <c:pt idx="45">
                  <c:v>0.72863515901828346</c:v>
                </c:pt>
                <c:pt idx="46">
                  <c:v>0.19138347066899153</c:v>
                </c:pt>
                <c:pt idx="47">
                  <c:v>0.56492570581543267</c:v>
                </c:pt>
                <c:pt idx="48">
                  <c:v>0.33617368343396137</c:v>
                </c:pt>
                <c:pt idx="49">
                  <c:v>0.76273205512628295</c:v>
                </c:pt>
                <c:pt idx="50">
                  <c:v>0.50816971447729409</c:v>
                </c:pt>
                <c:pt idx="51">
                  <c:v>5.3946604725891412E-2</c:v>
                </c:pt>
                <c:pt idx="52">
                  <c:v>0.85503758843977617</c:v>
                </c:pt>
                <c:pt idx="53">
                  <c:v>0.29340007608860508</c:v>
                </c:pt>
                <c:pt idx="54">
                  <c:v>0.35411189627530182</c:v>
                </c:pt>
                <c:pt idx="55">
                  <c:v>0.28524098853692414</c:v>
                </c:pt>
                <c:pt idx="56">
                  <c:v>0.14880532665274115</c:v>
                </c:pt>
                <c:pt idx="57">
                  <c:v>0.59314132654639506</c:v>
                </c:pt>
                <c:pt idx="58">
                  <c:v>0.82249087867443393</c:v>
                </c:pt>
                <c:pt idx="59">
                  <c:v>0.86434582925389836</c:v>
                </c:pt>
                <c:pt idx="60">
                  <c:v>0.47931622694976117</c:v>
                </c:pt>
                <c:pt idx="61">
                  <c:v>0.97329157419321743</c:v>
                </c:pt>
                <c:pt idx="62">
                  <c:v>0.18439041582405757</c:v>
                </c:pt>
                <c:pt idx="63">
                  <c:v>0.88039956333210889</c:v>
                </c:pt>
                <c:pt idx="64">
                  <c:v>0.12530690449276005</c:v>
                </c:pt>
                <c:pt idx="65">
                  <c:v>0.5545073286885116</c:v>
                </c:pt>
                <c:pt idx="66">
                  <c:v>0.14523864847476131</c:v>
                </c:pt>
                <c:pt idx="67">
                  <c:v>0.28014076642357622</c:v>
                </c:pt>
                <c:pt idx="68">
                  <c:v>0.69389488361948504</c:v>
                </c:pt>
                <c:pt idx="69">
                  <c:v>0.63038707268410776</c:v>
                </c:pt>
                <c:pt idx="70">
                  <c:v>0.42019968489970938</c:v>
                </c:pt>
                <c:pt idx="71">
                  <c:v>0.53276843023752962</c:v>
                </c:pt>
                <c:pt idx="72">
                  <c:v>0.40668176161430936</c:v>
                </c:pt>
                <c:pt idx="73">
                  <c:v>0.79934438448659162</c:v>
                </c:pt>
                <c:pt idx="74">
                  <c:v>0.86643018871094568</c:v>
                </c:pt>
                <c:pt idx="75">
                  <c:v>0.8322844551991988</c:v>
                </c:pt>
                <c:pt idx="76">
                  <c:v>7.96261296272609E-2</c:v>
                </c:pt>
                <c:pt idx="77">
                  <c:v>0.56647229726526283</c:v>
                </c:pt>
                <c:pt idx="78">
                  <c:v>2.593563781625885E-2</c:v>
                </c:pt>
                <c:pt idx="79">
                  <c:v>0.26533386820579574</c:v>
                </c:pt>
                <c:pt idx="80">
                  <c:v>0.92004747351331806</c:v>
                </c:pt>
                <c:pt idx="81">
                  <c:v>0.81613985411024115</c:v>
                </c:pt>
                <c:pt idx="82">
                  <c:v>1.8552054921190053E-2</c:v>
                </c:pt>
                <c:pt idx="83">
                  <c:v>8.0727016687708097E-2</c:v>
                </c:pt>
                <c:pt idx="84">
                  <c:v>7.2974681620635473E-2</c:v>
                </c:pt>
                <c:pt idx="85">
                  <c:v>0.90909606162409806</c:v>
                </c:pt>
                <c:pt idx="86">
                  <c:v>0.56109074718901319</c:v>
                </c:pt>
                <c:pt idx="87">
                  <c:v>2.3926886226807498E-2</c:v>
                </c:pt>
                <c:pt idx="88">
                  <c:v>0.81651577231612948</c:v>
                </c:pt>
                <c:pt idx="89">
                  <c:v>0.85634176556674302</c:v>
                </c:pt>
                <c:pt idx="90">
                  <c:v>0.26055252619903968</c:v>
                </c:pt>
                <c:pt idx="91">
                  <c:v>0.47633629017683343</c:v>
                </c:pt>
                <c:pt idx="92">
                  <c:v>0.36871659815114866</c:v>
                </c:pt>
                <c:pt idx="93">
                  <c:v>0.79999835530122965</c:v>
                </c:pt>
                <c:pt idx="94">
                  <c:v>0.95699065867861133</c:v>
                </c:pt>
                <c:pt idx="95">
                  <c:v>0.60657373835740036</c:v>
                </c:pt>
                <c:pt idx="96">
                  <c:v>0.87287495648026114</c:v>
                </c:pt>
                <c:pt idx="97">
                  <c:v>0.71668752597343455</c:v>
                </c:pt>
                <c:pt idx="98">
                  <c:v>0.46722425337628815</c:v>
                </c:pt>
                <c:pt idx="99">
                  <c:v>0.41164223720157911</c:v>
                </c:pt>
              </c:numCache>
            </c:numRef>
          </c:xVal>
          <c:yVal>
            <c:numRef>
              <c:f>Sheet1!$B$2:$B$101</c:f>
              <c:numCache>
                <c:formatCode>General</c:formatCode>
                <c:ptCount val="100"/>
                <c:pt idx="0">
                  <c:v>0.43261352817168947</c:v>
                </c:pt>
                <c:pt idx="1">
                  <c:v>0.68255838105838473</c:v>
                </c:pt>
                <c:pt idx="2">
                  <c:v>0.81159721683488995</c:v>
                </c:pt>
                <c:pt idx="3">
                  <c:v>0.44928826598805105</c:v>
                </c:pt>
                <c:pt idx="4">
                  <c:v>0.86794130428388083</c:v>
                </c:pt>
                <c:pt idx="5">
                  <c:v>0.29741795189970854</c:v>
                </c:pt>
                <c:pt idx="6">
                  <c:v>0.76402754131303452</c:v>
                </c:pt>
                <c:pt idx="7">
                  <c:v>0.74947773739281165</c:v>
                </c:pt>
                <c:pt idx="8">
                  <c:v>0.7151493458843915</c:v>
                </c:pt>
                <c:pt idx="9">
                  <c:v>0.55277454957131644</c:v>
                </c:pt>
                <c:pt idx="10">
                  <c:v>0.51264586426313941</c:v>
                </c:pt>
                <c:pt idx="11">
                  <c:v>0.44443129482786581</c:v>
                </c:pt>
                <c:pt idx="12">
                  <c:v>0.53955192950192554</c:v>
                </c:pt>
                <c:pt idx="13">
                  <c:v>0.38664960613827359</c:v>
                </c:pt>
                <c:pt idx="14">
                  <c:v>0.4110178911656247</c:v>
                </c:pt>
                <c:pt idx="15">
                  <c:v>0.67884863511012072</c:v>
                </c:pt>
                <c:pt idx="16">
                  <c:v>0.66622186483878487</c:v>
                </c:pt>
                <c:pt idx="17">
                  <c:v>0.65212629441323466</c:v>
                </c:pt>
                <c:pt idx="18">
                  <c:v>0.46508836143507509</c:v>
                </c:pt>
                <c:pt idx="19">
                  <c:v>0.32092922264735685</c:v>
                </c:pt>
                <c:pt idx="20">
                  <c:v>0.82071530506317469</c:v>
                </c:pt>
                <c:pt idx="21">
                  <c:v>0.23724499811961441</c:v>
                </c:pt>
                <c:pt idx="22">
                  <c:v>0.57958504433401936</c:v>
                </c:pt>
                <c:pt idx="23">
                  <c:v>0.74850171721692704</c:v>
                </c:pt>
                <c:pt idx="24">
                  <c:v>0.3982286802703412</c:v>
                </c:pt>
                <c:pt idx="25">
                  <c:v>0.64716941986068943</c:v>
                </c:pt>
                <c:pt idx="26">
                  <c:v>0.31236087166255921</c:v>
                </c:pt>
                <c:pt idx="27">
                  <c:v>0.44397234580704692</c:v>
                </c:pt>
                <c:pt idx="28">
                  <c:v>0.40420326051101885</c:v>
                </c:pt>
                <c:pt idx="29">
                  <c:v>0.34675238240852235</c:v>
                </c:pt>
                <c:pt idx="30">
                  <c:v>0.53618150477829141</c:v>
                </c:pt>
                <c:pt idx="31">
                  <c:v>0.64908190852237502</c:v>
                </c:pt>
                <c:pt idx="32">
                  <c:v>0.37524509358982872</c:v>
                </c:pt>
                <c:pt idx="33">
                  <c:v>0.43375769225290267</c:v>
                </c:pt>
                <c:pt idx="34">
                  <c:v>0.49173214662897324</c:v>
                </c:pt>
                <c:pt idx="35">
                  <c:v>0.84620067172306823</c:v>
                </c:pt>
                <c:pt idx="36">
                  <c:v>0.73627973022094784</c:v>
                </c:pt>
                <c:pt idx="37">
                  <c:v>0.72127953292732239</c:v>
                </c:pt>
                <c:pt idx="38">
                  <c:v>0.88956105778770467</c:v>
                </c:pt>
                <c:pt idx="39">
                  <c:v>0.43070938875103626</c:v>
                </c:pt>
                <c:pt idx="40">
                  <c:v>0.11219625656864281</c:v>
                </c:pt>
                <c:pt idx="41">
                  <c:v>0.1862403115338091</c:v>
                </c:pt>
                <c:pt idx="42">
                  <c:v>0.91147759087987901</c:v>
                </c:pt>
                <c:pt idx="43">
                  <c:v>0.6891019966363584</c:v>
                </c:pt>
                <c:pt idx="44">
                  <c:v>0.2997489928842863</c:v>
                </c:pt>
                <c:pt idx="45">
                  <c:v>0.59429426000280672</c:v>
                </c:pt>
                <c:pt idx="46">
                  <c:v>0.3083837318453353</c:v>
                </c:pt>
                <c:pt idx="47">
                  <c:v>0.49220889984896032</c:v>
                </c:pt>
                <c:pt idx="48">
                  <c:v>0.33652183987236295</c:v>
                </c:pt>
                <c:pt idx="49">
                  <c:v>0.70275148391952413</c:v>
                </c:pt>
                <c:pt idx="50">
                  <c:v>0.49590623521970506</c:v>
                </c:pt>
                <c:pt idx="51">
                  <c:v>0.25205953656697822</c:v>
                </c:pt>
                <c:pt idx="52">
                  <c:v>0.78195236816211977</c:v>
                </c:pt>
                <c:pt idx="53">
                  <c:v>0.36349865139940168</c:v>
                </c:pt>
                <c:pt idx="54">
                  <c:v>0.45946671617606971</c:v>
                </c:pt>
                <c:pt idx="55">
                  <c:v>0.41370848157554141</c:v>
                </c:pt>
                <c:pt idx="56">
                  <c:v>0.36970110393761968</c:v>
                </c:pt>
                <c:pt idx="57">
                  <c:v>0.55197844751117675</c:v>
                </c:pt>
                <c:pt idx="58">
                  <c:v>0.75865373301830485</c:v>
                </c:pt>
                <c:pt idx="59">
                  <c:v>0.79022351938563629</c:v>
                </c:pt>
                <c:pt idx="60">
                  <c:v>0.42493242548929988</c:v>
                </c:pt>
                <c:pt idx="61">
                  <c:v>0.87371234976016232</c:v>
                </c:pt>
                <c:pt idx="62">
                  <c:v>0.37084690022290512</c:v>
                </c:pt>
                <c:pt idx="63">
                  <c:v>0.77901753074964941</c:v>
                </c:pt>
                <c:pt idx="64">
                  <c:v>0.23224960445334369</c:v>
                </c:pt>
                <c:pt idx="65">
                  <c:v>0.45200995402182964</c:v>
                </c:pt>
                <c:pt idx="66">
                  <c:v>0.27047234402558801</c:v>
                </c:pt>
                <c:pt idx="67">
                  <c:v>0.30736946927796149</c:v>
                </c:pt>
                <c:pt idx="68">
                  <c:v>0.74059637393501387</c:v>
                </c:pt>
                <c:pt idx="69">
                  <c:v>0.65696374730766405</c:v>
                </c:pt>
                <c:pt idx="70">
                  <c:v>0.45500668900069818</c:v>
                </c:pt>
                <c:pt idx="71">
                  <c:v>0.44181511725254541</c:v>
                </c:pt>
                <c:pt idx="72">
                  <c:v>0.49732102891431551</c:v>
                </c:pt>
                <c:pt idx="73">
                  <c:v>0.67077018043836301</c:v>
                </c:pt>
                <c:pt idx="74">
                  <c:v>0.79750737047927767</c:v>
                </c:pt>
                <c:pt idx="75">
                  <c:v>0.71306985210681084</c:v>
                </c:pt>
                <c:pt idx="76">
                  <c:v>0.22749538465698904</c:v>
                </c:pt>
                <c:pt idx="77">
                  <c:v>0.50795291188066205</c:v>
                </c:pt>
                <c:pt idx="78">
                  <c:v>0.19999212692780516</c:v>
                </c:pt>
                <c:pt idx="79">
                  <c:v>0.33876499517480929</c:v>
                </c:pt>
                <c:pt idx="80">
                  <c:v>0.73728055118598435</c:v>
                </c:pt>
                <c:pt idx="81">
                  <c:v>0.6406855392789762</c:v>
                </c:pt>
                <c:pt idx="82">
                  <c:v>0.26381590243427799</c:v>
                </c:pt>
                <c:pt idx="83">
                  <c:v>0.30815921310839012</c:v>
                </c:pt>
                <c:pt idx="84">
                  <c:v>0.25772840172413225</c:v>
                </c:pt>
                <c:pt idx="85">
                  <c:v>0.64810372943867733</c:v>
                </c:pt>
                <c:pt idx="86">
                  <c:v>0.51675555692790198</c:v>
                </c:pt>
                <c:pt idx="87">
                  <c:v>0.13167173308608576</c:v>
                </c:pt>
                <c:pt idx="88">
                  <c:v>0.63161946937716262</c:v>
                </c:pt>
                <c:pt idx="89">
                  <c:v>0.77307095404179105</c:v>
                </c:pt>
                <c:pt idx="90">
                  <c:v>0.33394306034970411</c:v>
                </c:pt>
                <c:pt idx="91">
                  <c:v>0.51704788397609558</c:v>
                </c:pt>
                <c:pt idx="92">
                  <c:v>0.47498722303252572</c:v>
                </c:pt>
                <c:pt idx="93">
                  <c:v>0.73453861724285541</c:v>
                </c:pt>
                <c:pt idx="94">
                  <c:v>0.80097678521929949</c:v>
                </c:pt>
                <c:pt idx="95">
                  <c:v>0.61328241223257818</c:v>
                </c:pt>
                <c:pt idx="96">
                  <c:v>0.8683936499477668</c:v>
                </c:pt>
                <c:pt idx="97">
                  <c:v>0.67150255200813191</c:v>
                </c:pt>
                <c:pt idx="98">
                  <c:v>0.51723516820435411</c:v>
                </c:pt>
                <c:pt idx="99">
                  <c:v>0.35653122715166752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76-4E02-AA83-E447613C3FB8}"/>
            </c:ext>
          </c:extLst>
        </c:ser>
        <c:ser>
          <c:idx val="1"/>
          <c:order val="1"/>
          <c:tx>
            <c:v>yᵢ predicted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0.47461267833281184</c:v>
                </c:pt>
                <c:pt idx="1">
                  <c:v>0.74522111847214556</c:v>
                </c:pt>
                <c:pt idx="2">
                  <c:v>0.78367626103568155</c:v>
                </c:pt>
                <c:pt idx="3">
                  <c:v>0.51424339620781434</c:v>
                </c:pt>
                <c:pt idx="4">
                  <c:v>0.92511887266091608</c:v>
                </c:pt>
                <c:pt idx="5">
                  <c:v>6.2868561759879538E-2</c:v>
                </c:pt>
                <c:pt idx="6">
                  <c:v>0.86055351116304912</c:v>
                </c:pt>
                <c:pt idx="7">
                  <c:v>0.92491119339101657</c:v>
                </c:pt>
                <c:pt idx="8">
                  <c:v>0.93958976531529759</c:v>
                </c:pt>
                <c:pt idx="9">
                  <c:v>0.49099303891136425</c:v>
                </c:pt>
                <c:pt idx="10">
                  <c:v>0.55901797995103142</c:v>
                </c:pt>
                <c:pt idx="11">
                  <c:v>0.27797419771294107</c:v>
                </c:pt>
                <c:pt idx="12">
                  <c:v>0.49466554986470013</c:v>
                </c:pt>
                <c:pt idx="13">
                  <c:v>0.21873346974522323</c:v>
                </c:pt>
                <c:pt idx="14">
                  <c:v>0.4858707521743395</c:v>
                </c:pt>
                <c:pt idx="15">
                  <c:v>0.67262619544158198</c:v>
                </c:pt>
                <c:pt idx="16">
                  <c:v>0.89541318735568853</c:v>
                </c:pt>
                <c:pt idx="17">
                  <c:v>0.90117399798370845</c:v>
                </c:pt>
                <c:pt idx="18">
                  <c:v>0.57335015063459582</c:v>
                </c:pt>
                <c:pt idx="19">
                  <c:v>1.3195462911787748E-2</c:v>
                </c:pt>
                <c:pt idx="20">
                  <c:v>0.89948576606136443</c:v>
                </c:pt>
                <c:pt idx="21">
                  <c:v>0.10526791435160987</c:v>
                </c:pt>
                <c:pt idx="22">
                  <c:v>0.60111915205119459</c:v>
                </c:pt>
                <c:pt idx="23">
                  <c:v>0.89814676899681289</c:v>
                </c:pt>
                <c:pt idx="24">
                  <c:v>0.21785024389596419</c:v>
                </c:pt>
                <c:pt idx="25">
                  <c:v>0.80412804634704094</c:v>
                </c:pt>
                <c:pt idx="26">
                  <c:v>5.2182628990731006E-2</c:v>
                </c:pt>
                <c:pt idx="27">
                  <c:v>0.34701188639554448</c:v>
                </c:pt>
                <c:pt idx="28">
                  <c:v>0.30319294777500083</c:v>
                </c:pt>
                <c:pt idx="29">
                  <c:v>0.12077732837950161</c:v>
                </c:pt>
                <c:pt idx="30">
                  <c:v>0.68691773830175284</c:v>
                </c:pt>
                <c:pt idx="31">
                  <c:v>0.90557687916141583</c:v>
                </c:pt>
                <c:pt idx="32">
                  <c:v>0.3608840837588716</c:v>
                </c:pt>
                <c:pt idx="33">
                  <c:v>0.26058154953358714</c:v>
                </c:pt>
                <c:pt idx="34">
                  <c:v>0.62960827766149974</c:v>
                </c:pt>
                <c:pt idx="35">
                  <c:v>0.83698648622291949</c:v>
                </c:pt>
                <c:pt idx="36">
                  <c:v>0.96827460859766834</c:v>
                </c:pt>
                <c:pt idx="37">
                  <c:v>0.66549198827793632</c:v>
                </c:pt>
                <c:pt idx="38">
                  <c:v>0.97703718225851299</c:v>
                </c:pt>
                <c:pt idx="39">
                  <c:v>0.41721564724490812</c:v>
                </c:pt>
                <c:pt idx="40">
                  <c:v>1.0299258527148969E-2</c:v>
                </c:pt>
                <c:pt idx="41">
                  <c:v>7.8790750021327072E-2</c:v>
                </c:pt>
                <c:pt idx="42">
                  <c:v>0.94522302338630648</c:v>
                </c:pt>
                <c:pt idx="43">
                  <c:v>0.91056158328068904</c:v>
                </c:pt>
                <c:pt idx="44">
                  <c:v>9.4138000062018667E-2</c:v>
                </c:pt>
                <c:pt idx="45">
                  <c:v>0.72863515901828346</c:v>
                </c:pt>
                <c:pt idx="46">
                  <c:v>0.19138347066899153</c:v>
                </c:pt>
                <c:pt idx="47">
                  <c:v>0.56492570581543267</c:v>
                </c:pt>
                <c:pt idx="48">
                  <c:v>0.33617368343396137</c:v>
                </c:pt>
                <c:pt idx="49">
                  <c:v>0.76273205512628295</c:v>
                </c:pt>
                <c:pt idx="50">
                  <c:v>0.50816971447729409</c:v>
                </c:pt>
                <c:pt idx="51">
                  <c:v>5.3946604725891412E-2</c:v>
                </c:pt>
                <c:pt idx="52">
                  <c:v>0.85503758843977617</c:v>
                </c:pt>
                <c:pt idx="53">
                  <c:v>0.29340007608860508</c:v>
                </c:pt>
                <c:pt idx="54">
                  <c:v>0.35411189627530182</c:v>
                </c:pt>
                <c:pt idx="55">
                  <c:v>0.28524098853692414</c:v>
                </c:pt>
                <c:pt idx="56">
                  <c:v>0.14880532665274115</c:v>
                </c:pt>
                <c:pt idx="57">
                  <c:v>0.59314132654639506</c:v>
                </c:pt>
                <c:pt idx="58">
                  <c:v>0.82249087867443393</c:v>
                </c:pt>
                <c:pt idx="59">
                  <c:v>0.86434582925389836</c:v>
                </c:pt>
                <c:pt idx="60">
                  <c:v>0.47931622694976117</c:v>
                </c:pt>
                <c:pt idx="61">
                  <c:v>0.97329157419321743</c:v>
                </c:pt>
                <c:pt idx="62">
                  <c:v>0.18439041582405757</c:v>
                </c:pt>
                <c:pt idx="63">
                  <c:v>0.88039956333210889</c:v>
                </c:pt>
                <c:pt idx="64">
                  <c:v>0.12530690449276005</c:v>
                </c:pt>
                <c:pt idx="65">
                  <c:v>0.5545073286885116</c:v>
                </c:pt>
                <c:pt idx="66">
                  <c:v>0.14523864847476131</c:v>
                </c:pt>
                <c:pt idx="67">
                  <c:v>0.28014076642357622</c:v>
                </c:pt>
                <c:pt idx="68">
                  <c:v>0.69389488361948504</c:v>
                </c:pt>
                <c:pt idx="69">
                  <c:v>0.63038707268410776</c:v>
                </c:pt>
                <c:pt idx="70">
                  <c:v>0.42019968489970938</c:v>
                </c:pt>
                <c:pt idx="71">
                  <c:v>0.53276843023752962</c:v>
                </c:pt>
                <c:pt idx="72">
                  <c:v>0.40668176161430936</c:v>
                </c:pt>
                <c:pt idx="73">
                  <c:v>0.79934438448659162</c:v>
                </c:pt>
                <c:pt idx="74">
                  <c:v>0.86643018871094568</c:v>
                </c:pt>
                <c:pt idx="75">
                  <c:v>0.8322844551991988</c:v>
                </c:pt>
                <c:pt idx="76">
                  <c:v>7.96261296272609E-2</c:v>
                </c:pt>
                <c:pt idx="77">
                  <c:v>0.56647229726526283</c:v>
                </c:pt>
                <c:pt idx="78">
                  <c:v>2.593563781625885E-2</c:v>
                </c:pt>
                <c:pt idx="79">
                  <c:v>0.26533386820579574</c:v>
                </c:pt>
                <c:pt idx="80">
                  <c:v>0.92004747351331806</c:v>
                </c:pt>
                <c:pt idx="81">
                  <c:v>0.81613985411024115</c:v>
                </c:pt>
                <c:pt idx="82">
                  <c:v>1.8552054921190053E-2</c:v>
                </c:pt>
                <c:pt idx="83">
                  <c:v>8.0727016687708097E-2</c:v>
                </c:pt>
                <c:pt idx="84">
                  <c:v>7.2974681620635473E-2</c:v>
                </c:pt>
                <c:pt idx="85">
                  <c:v>0.90909606162409806</c:v>
                </c:pt>
                <c:pt idx="86">
                  <c:v>0.56109074718901319</c:v>
                </c:pt>
                <c:pt idx="87">
                  <c:v>2.3926886226807498E-2</c:v>
                </c:pt>
                <c:pt idx="88">
                  <c:v>0.81651577231612948</c:v>
                </c:pt>
                <c:pt idx="89">
                  <c:v>0.85634176556674302</c:v>
                </c:pt>
                <c:pt idx="90">
                  <c:v>0.26055252619903968</c:v>
                </c:pt>
                <c:pt idx="91">
                  <c:v>0.47633629017683343</c:v>
                </c:pt>
                <c:pt idx="92">
                  <c:v>0.36871659815114866</c:v>
                </c:pt>
                <c:pt idx="93">
                  <c:v>0.79999835530122965</c:v>
                </c:pt>
                <c:pt idx="94">
                  <c:v>0.95699065867861133</c:v>
                </c:pt>
                <c:pt idx="95">
                  <c:v>0.60657373835740036</c:v>
                </c:pt>
                <c:pt idx="96">
                  <c:v>0.87287495648026114</c:v>
                </c:pt>
                <c:pt idx="97">
                  <c:v>0.71668752597343455</c:v>
                </c:pt>
                <c:pt idx="98">
                  <c:v>0.46722425337628815</c:v>
                </c:pt>
                <c:pt idx="99">
                  <c:v>0.41164223720157911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0.49644773716690055</c:v>
                </c:pt>
                <c:pt idx="1">
                  <c:v>0.66316550846031497</c:v>
                </c:pt>
                <c:pt idx="2">
                  <c:v>0.68685714076735671</c:v>
                </c:pt>
                <c:pt idx="3">
                  <c:v>0.52086362366133709</c:v>
                </c:pt>
                <c:pt idx="4">
                  <c:v>0.77399779670527735</c:v>
                </c:pt>
                <c:pt idx="5">
                  <c:v>0.24277840806958795</c:v>
                </c:pt>
                <c:pt idx="6">
                  <c:v>0.7342200530172549</c:v>
                </c:pt>
                <c:pt idx="7">
                  <c:v>0.77386984864495945</c:v>
                </c:pt>
                <c:pt idx="8">
                  <c:v>0.78291309502606343</c:v>
                </c:pt>
                <c:pt idx="9">
                  <c:v>0.50653942982523992</c:v>
                </c:pt>
                <c:pt idx="10">
                  <c:v>0.5484485681974941</c:v>
                </c:pt>
                <c:pt idx="11">
                  <c:v>0.37530174030668295</c:v>
                </c:pt>
                <c:pt idx="12">
                  <c:v>0.50880200833489586</c:v>
                </c:pt>
                <c:pt idx="13">
                  <c:v>0.3388044228856445</c:v>
                </c:pt>
                <c:pt idx="14">
                  <c:v>0.50338366636020204</c:v>
                </c:pt>
                <c:pt idx="15">
                  <c:v>0.61844087323223085</c:v>
                </c:pt>
                <c:pt idx="16">
                  <c:v>0.75569657281779967</c:v>
                </c:pt>
                <c:pt idx="17">
                  <c:v>0.75924572120449585</c:v>
                </c:pt>
                <c:pt idx="18">
                  <c:v>0.55727840200803747</c:v>
                </c:pt>
                <c:pt idx="19">
                  <c:v>0.21217556238995092</c:v>
                </c:pt>
                <c:pt idx="20">
                  <c:v>0.75820562702496963</c:v>
                </c:pt>
                <c:pt idx="21">
                  <c:v>0.26890000858115115</c:v>
                </c:pt>
                <c:pt idx="22">
                  <c:v>0.57438646421347084</c:v>
                </c:pt>
                <c:pt idx="23">
                  <c:v>0.75738069116467088</c:v>
                </c:pt>
                <c:pt idx="24">
                  <c:v>0.33826028078474996</c:v>
                </c:pt>
                <c:pt idx="25">
                  <c:v>0.69945717668761709</c:v>
                </c:pt>
                <c:pt idx="26">
                  <c:v>0.23619496634638668</c:v>
                </c:pt>
                <c:pt idx="27">
                  <c:v>0.41783481719994586</c:v>
                </c:pt>
                <c:pt idx="28">
                  <c:v>0.3908386311848368</c:v>
                </c:pt>
                <c:pt idx="29">
                  <c:v>0.27845512422893204</c:v>
                </c:pt>
                <c:pt idx="30">
                  <c:v>0.62724567685463517</c:v>
                </c:pt>
                <c:pt idx="31">
                  <c:v>0.7619582697740791</c:v>
                </c:pt>
                <c:pt idx="32">
                  <c:v>0.42638126839771884</c:v>
                </c:pt>
                <c:pt idx="33">
                  <c:v>0.36458639255234337</c:v>
                </c:pt>
                <c:pt idx="34">
                  <c:v>0.59193818405414778</c:v>
                </c:pt>
                <c:pt idx="35">
                  <c:v>0.71970076503048075</c:v>
                </c:pt>
                <c:pt idx="36">
                  <c:v>0.80058539356736302</c:v>
                </c:pt>
                <c:pt idx="37">
                  <c:v>0.61404559599085551</c:v>
                </c:pt>
                <c:pt idx="38">
                  <c:v>0.8059838828043514</c:v>
                </c:pt>
                <c:pt idx="39">
                  <c:v>0.4610862935367348</c:v>
                </c:pt>
                <c:pt idx="40">
                  <c:v>0.21039125462789968</c:v>
                </c:pt>
                <c:pt idx="41">
                  <c:v>0.25258782768597504</c:v>
                </c:pt>
                <c:pt idx="42">
                  <c:v>0.78638366020960193</c:v>
                </c:pt>
                <c:pt idx="43">
                  <c:v>0.76502927066708315</c:v>
                </c:pt>
                <c:pt idx="44">
                  <c:v>0.2620430365514097</c:v>
                </c:pt>
                <c:pt idx="45">
                  <c:v>0.65294714944133136</c:v>
                </c:pt>
                <c:pt idx="46">
                  <c:v>0.32195450169132206</c:v>
                </c:pt>
                <c:pt idx="47">
                  <c:v>0.55208822884155351</c:v>
                </c:pt>
                <c:pt idx="48">
                  <c:v>0.4111575641118661</c:v>
                </c:pt>
                <c:pt idx="49">
                  <c:v>0.67395373195672459</c:v>
                </c:pt>
                <c:pt idx="50">
                  <c:v>0.51712172011562174</c:v>
                </c:pt>
                <c:pt idx="51">
                  <c:v>0.23728172514456083</c:v>
                </c:pt>
                <c:pt idx="52">
                  <c:v>0.73082177636861345</c:v>
                </c:pt>
                <c:pt idx="53">
                  <c:v>0.38480539090128307</c:v>
                </c:pt>
                <c:pt idx="54">
                  <c:v>0.42220902601141119</c:v>
                </c:pt>
                <c:pt idx="55">
                  <c:v>0.37977870033795952</c:v>
                </c:pt>
                <c:pt idx="56">
                  <c:v>0.29572275048450702</c:v>
                </c:pt>
                <c:pt idx="57">
                  <c:v>0.56947144645850678</c:v>
                </c:pt>
                <c:pt idx="58">
                  <c:v>0.71077024023685942</c:v>
                </c:pt>
                <c:pt idx="59">
                  <c:v>0.73655644289414324</c:v>
                </c:pt>
                <c:pt idx="60">
                  <c:v>0.49934552240295693</c:v>
                </c:pt>
                <c:pt idx="61">
                  <c:v>0.80367627026845567</c:v>
                </c:pt>
                <c:pt idx="62">
                  <c:v>0.3176461862608066</c:v>
                </c:pt>
                <c:pt idx="63">
                  <c:v>0.74644690590068619</c:v>
                </c:pt>
                <c:pt idx="64">
                  <c:v>0.28124572763404942</c:v>
                </c:pt>
                <c:pt idx="65">
                  <c:v>0.54566962410697739</c:v>
                </c:pt>
                <c:pt idx="66">
                  <c:v>0.29352537394869949</c:v>
                </c:pt>
                <c:pt idx="67">
                  <c:v>0.37663653055419022</c:v>
                </c:pt>
                <c:pt idx="68">
                  <c:v>0.63154419066582179</c:v>
                </c:pt>
                <c:pt idx="69">
                  <c:v>0.59241798790060862</c:v>
                </c:pt>
                <c:pt idx="70">
                  <c:v>0.46292471404944291</c:v>
                </c:pt>
                <c:pt idx="71">
                  <c:v>0.53227661722864261</c:v>
                </c:pt>
                <c:pt idx="72">
                  <c:v>0.4545965257582838</c:v>
                </c:pt>
                <c:pt idx="73">
                  <c:v>0.69651003489268715</c:v>
                </c:pt>
                <c:pt idx="74">
                  <c:v>0.73784058526263085</c:v>
                </c:pt>
                <c:pt idx="75">
                  <c:v>0.71680391476068284</c:v>
                </c:pt>
                <c:pt idx="76">
                  <c:v>0.25310249243927524</c:v>
                </c:pt>
                <c:pt idx="77">
                  <c:v>0.55304106046603785</c:v>
                </c:pt>
                <c:pt idx="78">
                  <c:v>0.22002459165477381</c:v>
                </c:pt>
                <c:pt idx="79">
                  <c:v>0.36751422428256864</c:v>
                </c:pt>
                <c:pt idx="80">
                  <c:v>0.77087338431521468</c:v>
                </c:pt>
                <c:pt idx="81">
                  <c:v>0.70685746996174614</c:v>
                </c:pt>
                <c:pt idx="82">
                  <c:v>0.21547567779313584</c:v>
                </c:pt>
                <c:pt idx="83">
                  <c:v>0.25378073232369647</c:v>
                </c:pt>
                <c:pt idx="84">
                  <c:v>0.24900463582043644</c:v>
                </c:pt>
                <c:pt idx="85">
                  <c:v>0.76412638491731388</c:v>
                </c:pt>
                <c:pt idx="86">
                  <c:v>0.5497255687749647</c:v>
                </c:pt>
                <c:pt idx="87">
                  <c:v>0.21878703015113779</c:v>
                </c:pt>
                <c:pt idx="88">
                  <c:v>0.70708906748857148</c:v>
                </c:pt>
                <c:pt idx="89">
                  <c:v>0.73162526019146767</c:v>
                </c:pt>
                <c:pt idx="90">
                  <c:v>0.36456851171444798</c:v>
                </c:pt>
                <c:pt idx="91">
                  <c:v>0.49750962838161011</c:v>
                </c:pt>
                <c:pt idx="92">
                  <c:v>0.43120676217179205</c:v>
                </c:pt>
                <c:pt idx="93">
                  <c:v>0.69691293643061125</c:v>
                </c:pt>
                <c:pt idx="94">
                  <c:v>0.79363352251366248</c:v>
                </c:pt>
                <c:pt idx="95">
                  <c:v>0.57774695242230112</c:v>
                </c:pt>
                <c:pt idx="96">
                  <c:v>0.74181110931003558</c:v>
                </c:pt>
                <c:pt idx="97">
                  <c:v>0.64558639324154998</c:v>
                </c:pt>
                <c:pt idx="98">
                  <c:v>0.49189584018435989</c:v>
                </c:pt>
                <c:pt idx="99">
                  <c:v>0.45765259981879419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76-4E02-AA83-E447613C3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970704"/>
        <c:axId val="1110980304"/>
      </c:scatterChart>
      <c:valAx>
        <c:axId val="111097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980304"/>
        <c:crosses val="autoZero"/>
        <c:crossBetween val="midCat"/>
      </c:valAx>
      <c:valAx>
        <c:axId val="111098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97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Error</a:t>
            </a:r>
            <a:r>
              <a:rPr lang="en-IN" baseline="0"/>
              <a:t> Distribution for error for y_predicted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0.47461267833281184</c:v>
                </c:pt>
                <c:pt idx="1">
                  <c:v>0.74522111847214556</c:v>
                </c:pt>
                <c:pt idx="2">
                  <c:v>0.78367626103568155</c:v>
                </c:pt>
                <c:pt idx="3">
                  <c:v>0.51424339620781434</c:v>
                </c:pt>
                <c:pt idx="4">
                  <c:v>0.92511887266091608</c:v>
                </c:pt>
                <c:pt idx="5">
                  <c:v>6.2868561759879538E-2</c:v>
                </c:pt>
                <c:pt idx="6">
                  <c:v>0.86055351116304912</c:v>
                </c:pt>
                <c:pt idx="7">
                  <c:v>0.92491119339101657</c:v>
                </c:pt>
                <c:pt idx="8">
                  <c:v>0.93958976531529759</c:v>
                </c:pt>
                <c:pt idx="9">
                  <c:v>0.49099303891136425</c:v>
                </c:pt>
                <c:pt idx="10">
                  <c:v>0.55901797995103142</c:v>
                </c:pt>
                <c:pt idx="11">
                  <c:v>0.27797419771294107</c:v>
                </c:pt>
                <c:pt idx="12">
                  <c:v>0.49466554986470013</c:v>
                </c:pt>
                <c:pt idx="13">
                  <c:v>0.21873346974522323</c:v>
                </c:pt>
                <c:pt idx="14">
                  <c:v>0.4858707521743395</c:v>
                </c:pt>
                <c:pt idx="15">
                  <c:v>0.67262619544158198</c:v>
                </c:pt>
                <c:pt idx="16">
                  <c:v>0.89541318735568853</c:v>
                </c:pt>
                <c:pt idx="17">
                  <c:v>0.90117399798370845</c:v>
                </c:pt>
                <c:pt idx="18">
                  <c:v>0.57335015063459582</c:v>
                </c:pt>
                <c:pt idx="19">
                  <c:v>1.3195462911787748E-2</c:v>
                </c:pt>
                <c:pt idx="20">
                  <c:v>0.89948576606136443</c:v>
                </c:pt>
                <c:pt idx="21">
                  <c:v>0.10526791435160987</c:v>
                </c:pt>
                <c:pt idx="22">
                  <c:v>0.60111915205119459</c:v>
                </c:pt>
                <c:pt idx="23">
                  <c:v>0.89814676899681289</c:v>
                </c:pt>
                <c:pt idx="24">
                  <c:v>0.21785024389596419</c:v>
                </c:pt>
                <c:pt idx="25">
                  <c:v>0.80412804634704094</c:v>
                </c:pt>
                <c:pt idx="26">
                  <c:v>5.2182628990731006E-2</c:v>
                </c:pt>
                <c:pt idx="27">
                  <c:v>0.34701188639554448</c:v>
                </c:pt>
                <c:pt idx="28">
                  <c:v>0.30319294777500083</c:v>
                </c:pt>
                <c:pt idx="29">
                  <c:v>0.12077732837950161</c:v>
                </c:pt>
                <c:pt idx="30">
                  <c:v>0.68691773830175284</c:v>
                </c:pt>
                <c:pt idx="31">
                  <c:v>0.90557687916141583</c:v>
                </c:pt>
                <c:pt idx="32">
                  <c:v>0.3608840837588716</c:v>
                </c:pt>
                <c:pt idx="33">
                  <c:v>0.26058154953358714</c:v>
                </c:pt>
                <c:pt idx="34">
                  <c:v>0.62960827766149974</c:v>
                </c:pt>
                <c:pt idx="35">
                  <c:v>0.83698648622291949</c:v>
                </c:pt>
                <c:pt idx="36">
                  <c:v>0.96827460859766834</c:v>
                </c:pt>
                <c:pt idx="37">
                  <c:v>0.66549198827793632</c:v>
                </c:pt>
                <c:pt idx="38">
                  <c:v>0.97703718225851299</c:v>
                </c:pt>
                <c:pt idx="39">
                  <c:v>0.41721564724490812</c:v>
                </c:pt>
                <c:pt idx="40">
                  <c:v>1.0299258527148969E-2</c:v>
                </c:pt>
                <c:pt idx="41">
                  <c:v>7.8790750021327072E-2</c:v>
                </c:pt>
                <c:pt idx="42">
                  <c:v>0.94522302338630648</c:v>
                </c:pt>
                <c:pt idx="43">
                  <c:v>0.91056158328068904</c:v>
                </c:pt>
                <c:pt idx="44">
                  <c:v>9.4138000062018667E-2</c:v>
                </c:pt>
                <c:pt idx="45">
                  <c:v>0.72863515901828346</c:v>
                </c:pt>
                <c:pt idx="46">
                  <c:v>0.19138347066899153</c:v>
                </c:pt>
                <c:pt idx="47">
                  <c:v>0.56492570581543267</c:v>
                </c:pt>
                <c:pt idx="48">
                  <c:v>0.33617368343396137</c:v>
                </c:pt>
                <c:pt idx="49">
                  <c:v>0.76273205512628295</c:v>
                </c:pt>
                <c:pt idx="50">
                  <c:v>0.50816971447729409</c:v>
                </c:pt>
                <c:pt idx="51">
                  <c:v>5.3946604725891412E-2</c:v>
                </c:pt>
                <c:pt idx="52">
                  <c:v>0.85503758843977617</c:v>
                </c:pt>
                <c:pt idx="53">
                  <c:v>0.29340007608860508</c:v>
                </c:pt>
                <c:pt idx="54">
                  <c:v>0.35411189627530182</c:v>
                </c:pt>
                <c:pt idx="55">
                  <c:v>0.28524098853692414</c:v>
                </c:pt>
                <c:pt idx="56">
                  <c:v>0.14880532665274115</c:v>
                </c:pt>
                <c:pt idx="57">
                  <c:v>0.59314132654639506</c:v>
                </c:pt>
                <c:pt idx="58">
                  <c:v>0.82249087867443393</c:v>
                </c:pt>
                <c:pt idx="59">
                  <c:v>0.86434582925389836</c:v>
                </c:pt>
                <c:pt idx="60">
                  <c:v>0.47931622694976117</c:v>
                </c:pt>
                <c:pt idx="61">
                  <c:v>0.97329157419321743</c:v>
                </c:pt>
                <c:pt idx="62">
                  <c:v>0.18439041582405757</c:v>
                </c:pt>
                <c:pt idx="63">
                  <c:v>0.88039956333210889</c:v>
                </c:pt>
                <c:pt idx="64">
                  <c:v>0.12530690449276005</c:v>
                </c:pt>
                <c:pt idx="65">
                  <c:v>0.5545073286885116</c:v>
                </c:pt>
                <c:pt idx="66">
                  <c:v>0.14523864847476131</c:v>
                </c:pt>
                <c:pt idx="67">
                  <c:v>0.28014076642357622</c:v>
                </c:pt>
                <c:pt idx="68">
                  <c:v>0.69389488361948504</c:v>
                </c:pt>
                <c:pt idx="69">
                  <c:v>0.63038707268410776</c:v>
                </c:pt>
                <c:pt idx="70">
                  <c:v>0.42019968489970938</c:v>
                </c:pt>
                <c:pt idx="71">
                  <c:v>0.53276843023752962</c:v>
                </c:pt>
                <c:pt idx="72">
                  <c:v>0.40668176161430936</c:v>
                </c:pt>
                <c:pt idx="73">
                  <c:v>0.79934438448659162</c:v>
                </c:pt>
                <c:pt idx="74">
                  <c:v>0.86643018871094568</c:v>
                </c:pt>
                <c:pt idx="75">
                  <c:v>0.8322844551991988</c:v>
                </c:pt>
                <c:pt idx="76">
                  <c:v>7.96261296272609E-2</c:v>
                </c:pt>
                <c:pt idx="77">
                  <c:v>0.56647229726526283</c:v>
                </c:pt>
                <c:pt idx="78">
                  <c:v>2.593563781625885E-2</c:v>
                </c:pt>
                <c:pt idx="79">
                  <c:v>0.26533386820579574</c:v>
                </c:pt>
                <c:pt idx="80">
                  <c:v>0.92004747351331806</c:v>
                </c:pt>
                <c:pt idx="81">
                  <c:v>0.81613985411024115</c:v>
                </c:pt>
                <c:pt idx="82">
                  <c:v>1.8552054921190053E-2</c:v>
                </c:pt>
                <c:pt idx="83">
                  <c:v>8.0727016687708097E-2</c:v>
                </c:pt>
                <c:pt idx="84">
                  <c:v>7.2974681620635473E-2</c:v>
                </c:pt>
                <c:pt idx="85">
                  <c:v>0.90909606162409806</c:v>
                </c:pt>
                <c:pt idx="86">
                  <c:v>0.56109074718901319</c:v>
                </c:pt>
                <c:pt idx="87">
                  <c:v>2.3926886226807498E-2</c:v>
                </c:pt>
                <c:pt idx="88">
                  <c:v>0.81651577231612948</c:v>
                </c:pt>
                <c:pt idx="89">
                  <c:v>0.85634176556674302</c:v>
                </c:pt>
                <c:pt idx="90">
                  <c:v>0.26055252619903968</c:v>
                </c:pt>
                <c:pt idx="91">
                  <c:v>0.47633629017683343</c:v>
                </c:pt>
                <c:pt idx="92">
                  <c:v>0.36871659815114866</c:v>
                </c:pt>
                <c:pt idx="93">
                  <c:v>0.79999835530122965</c:v>
                </c:pt>
                <c:pt idx="94">
                  <c:v>0.95699065867861133</c:v>
                </c:pt>
                <c:pt idx="95">
                  <c:v>0.60657373835740036</c:v>
                </c:pt>
                <c:pt idx="96">
                  <c:v>0.87287495648026114</c:v>
                </c:pt>
                <c:pt idx="97">
                  <c:v>0.71668752597343455</c:v>
                </c:pt>
                <c:pt idx="98">
                  <c:v>0.46722425337628815</c:v>
                </c:pt>
                <c:pt idx="99">
                  <c:v>0.41164223720157911</c:v>
                </c:pt>
              </c:numCache>
            </c:numRef>
          </c:xVal>
          <c:yVal>
            <c:numRef>
              <c:f>Sheet1!$F$2:$F$101</c:f>
              <c:numCache>
                <c:formatCode>General</c:formatCode>
                <c:ptCount val="100"/>
                <c:pt idx="0">
                  <c:v>6.3834208995211084E-2</c:v>
                </c:pt>
                <c:pt idx="1">
                  <c:v>-1.9392872598069766E-2</c:v>
                </c:pt>
                <c:pt idx="2">
                  <c:v>-0.12474007606753323</c:v>
                </c:pt>
                <c:pt idx="3">
                  <c:v>7.1575357673286044E-2</c:v>
                </c:pt>
                <c:pt idx="4">
                  <c:v>-9.394350757860348E-2</c:v>
                </c:pt>
                <c:pt idx="5">
                  <c:v>-5.4639543830120596E-2</c:v>
                </c:pt>
                <c:pt idx="6">
                  <c:v>-2.9807488295779616E-2</c:v>
                </c:pt>
                <c:pt idx="7">
                  <c:v>2.4392111252147797E-2</c:v>
                </c:pt>
                <c:pt idx="8">
                  <c:v>6.7763749141671936E-2</c:v>
                </c:pt>
                <c:pt idx="9">
                  <c:v>-4.6235119746076525E-2</c:v>
                </c:pt>
                <c:pt idx="10">
                  <c:v>3.5802703934354696E-2</c:v>
                </c:pt>
                <c:pt idx="11">
                  <c:v>-6.9129554521182857E-2</c:v>
                </c:pt>
                <c:pt idx="12">
                  <c:v>-3.0749921167029681E-2</c:v>
                </c:pt>
                <c:pt idx="13">
                  <c:v>-4.7845183252629098E-2</c:v>
                </c:pt>
                <c:pt idx="14">
                  <c:v>9.2365775194577338E-2</c:v>
                </c:pt>
                <c:pt idx="15">
                  <c:v>-6.0407761877889876E-2</c:v>
                </c:pt>
                <c:pt idx="16">
                  <c:v>8.94747079790148E-2</c:v>
                </c:pt>
                <c:pt idx="17">
                  <c:v>0.10711942679126119</c:v>
                </c:pt>
                <c:pt idx="18">
                  <c:v>9.2190040572962373E-2</c:v>
                </c:pt>
                <c:pt idx="19">
                  <c:v>-0.10875366025740593</c:v>
                </c:pt>
                <c:pt idx="20">
                  <c:v>-6.2509678038205063E-2</c:v>
                </c:pt>
                <c:pt idx="21">
                  <c:v>3.1655010461536737E-2</c:v>
                </c:pt>
                <c:pt idx="22">
                  <c:v>-5.1985801205485238E-3</c:v>
                </c:pt>
                <c:pt idx="23">
                  <c:v>8.8789739477438401E-3</c:v>
                </c:pt>
                <c:pt idx="24">
                  <c:v>-5.9968399485591239E-2</c:v>
                </c:pt>
                <c:pt idx="25">
                  <c:v>5.2287756826927656E-2</c:v>
                </c:pt>
                <c:pt idx="26">
                  <c:v>-7.6165905316172539E-2</c:v>
                </c:pt>
                <c:pt idx="27">
                  <c:v>-2.6137528607101057E-2</c:v>
                </c:pt>
                <c:pt idx="28">
                  <c:v>-1.3364629326182043E-2</c:v>
                </c:pt>
                <c:pt idx="29">
                  <c:v>-6.8297258179590314E-2</c:v>
                </c:pt>
                <c:pt idx="30">
                  <c:v>9.1064172076343763E-2</c:v>
                </c:pt>
                <c:pt idx="31">
                  <c:v>0.11287636125170408</c:v>
                </c:pt>
                <c:pt idx="32">
                  <c:v>5.1136174807890122E-2</c:v>
                </c:pt>
                <c:pt idx="33">
                  <c:v>-6.9171299700559297E-2</c:v>
                </c:pt>
                <c:pt idx="34">
                  <c:v>0.10020603742517453</c:v>
                </c:pt>
                <c:pt idx="35">
                  <c:v>-0.12649990669258748</c:v>
                </c:pt>
                <c:pt idx="36">
                  <c:v>6.4305663346415187E-2</c:v>
                </c:pt>
                <c:pt idx="37">
                  <c:v>-0.10723393693646688</c:v>
                </c:pt>
                <c:pt idx="38">
                  <c:v>-8.3577174983353264E-2</c:v>
                </c:pt>
                <c:pt idx="39">
                  <c:v>3.0376904785698544E-2</c:v>
                </c:pt>
                <c:pt idx="40">
                  <c:v>9.8194998059256869E-2</c:v>
                </c:pt>
                <c:pt idx="41">
                  <c:v>6.6347516152165942E-2</c:v>
                </c:pt>
                <c:pt idx="42">
                  <c:v>-0.12509393067027708</c:v>
                </c:pt>
                <c:pt idx="43">
                  <c:v>7.5927274030724745E-2</c:v>
                </c:pt>
                <c:pt idx="44">
                  <c:v>-3.77059563328766E-2</c:v>
                </c:pt>
                <c:pt idx="45">
                  <c:v>5.8652889438524647E-2</c:v>
                </c:pt>
                <c:pt idx="46">
                  <c:v>1.3570769845986763E-2</c:v>
                </c:pt>
                <c:pt idx="47">
                  <c:v>5.9879328992593184E-2</c:v>
                </c:pt>
                <c:pt idx="48">
                  <c:v>7.4635724239503154E-2</c:v>
                </c:pt>
                <c:pt idx="49">
                  <c:v>-2.8797751962799545E-2</c:v>
                </c:pt>
                <c:pt idx="50">
                  <c:v>2.1215484895916681E-2</c:v>
                </c:pt>
                <c:pt idx="51">
                  <c:v>-1.4777811422417381E-2</c:v>
                </c:pt>
                <c:pt idx="52">
                  <c:v>-5.1130591793506319E-2</c:v>
                </c:pt>
                <c:pt idx="53">
                  <c:v>2.1306739501881389E-2</c:v>
                </c:pt>
                <c:pt idx="54">
                  <c:v>-3.7257690164658519E-2</c:v>
                </c:pt>
                <c:pt idx="55">
                  <c:v>-3.3929781237581891E-2</c:v>
                </c:pt>
                <c:pt idx="56">
                  <c:v>-7.3978353453112655E-2</c:v>
                </c:pt>
                <c:pt idx="57">
                  <c:v>1.749299894733003E-2</c:v>
                </c:pt>
                <c:pt idx="58">
                  <c:v>-4.7883492781445436E-2</c:v>
                </c:pt>
                <c:pt idx="59">
                  <c:v>-5.3667076491493049E-2</c:v>
                </c:pt>
                <c:pt idx="60">
                  <c:v>7.4413096913657051E-2</c:v>
                </c:pt>
                <c:pt idx="61">
                  <c:v>-7.0036079491706649E-2</c:v>
                </c:pt>
                <c:pt idx="62">
                  <c:v>-5.3200713962098523E-2</c:v>
                </c:pt>
                <c:pt idx="63">
                  <c:v>-3.2570624848963226E-2</c:v>
                </c:pt>
                <c:pt idx="64">
                  <c:v>4.8996123180705731E-2</c:v>
                </c:pt>
                <c:pt idx="65">
                  <c:v>9.365967008514775E-2</c:v>
                </c:pt>
                <c:pt idx="66">
                  <c:v>2.3053029923111479E-2</c:v>
                </c:pt>
                <c:pt idx="67">
                  <c:v>6.9267061276228725E-2</c:v>
                </c:pt>
                <c:pt idx="68">
                  <c:v>-0.10905218326919208</c:v>
                </c:pt>
                <c:pt idx="69">
                  <c:v>-6.4545759407055425E-2</c:v>
                </c:pt>
                <c:pt idx="70">
                  <c:v>7.9180250487447257E-3</c:v>
                </c:pt>
                <c:pt idx="71">
                  <c:v>9.0461499976097204E-2</c:v>
                </c:pt>
                <c:pt idx="72">
                  <c:v>-4.2724503156031712E-2</c:v>
                </c:pt>
                <c:pt idx="73">
                  <c:v>2.573985445432414E-2</c:v>
                </c:pt>
                <c:pt idx="74">
                  <c:v>-5.9666785216646812E-2</c:v>
                </c:pt>
                <c:pt idx="75">
                  <c:v>3.7340626538719945E-3</c:v>
                </c:pt>
                <c:pt idx="76">
                  <c:v>2.5607107782286198E-2</c:v>
                </c:pt>
                <c:pt idx="77">
                  <c:v>4.5088148585375798E-2</c:v>
                </c:pt>
                <c:pt idx="78">
                  <c:v>2.0032464726968652E-2</c:v>
                </c:pt>
                <c:pt idx="79">
                  <c:v>2.8749229107759344E-2</c:v>
                </c:pt>
                <c:pt idx="80">
                  <c:v>3.3592833129230337E-2</c:v>
                </c:pt>
                <c:pt idx="81">
                  <c:v>6.6171930682769942E-2</c:v>
                </c:pt>
                <c:pt idx="82">
                  <c:v>-4.8340224641142154E-2</c:v>
                </c:pt>
                <c:pt idx="83">
                  <c:v>-5.437848078469365E-2</c:v>
                </c:pt>
                <c:pt idx="84">
                  <c:v>-8.7237659036958071E-3</c:v>
                </c:pt>
                <c:pt idx="85">
                  <c:v>0.11602265547863655</c:v>
                </c:pt>
                <c:pt idx="86">
                  <c:v>3.2970011847062719E-2</c:v>
                </c:pt>
                <c:pt idx="87">
                  <c:v>8.7115297065052028E-2</c:v>
                </c:pt>
                <c:pt idx="88">
                  <c:v>7.5469598111408853E-2</c:v>
                </c:pt>
                <c:pt idx="89">
                  <c:v>-4.1445693850323373E-2</c:v>
                </c:pt>
                <c:pt idx="90">
                  <c:v>3.0625451364743872E-2</c:v>
                </c:pt>
                <c:pt idx="91">
                  <c:v>-1.9538255594485465E-2</c:v>
                </c:pt>
                <c:pt idx="92">
                  <c:v>-4.3780460860733672E-2</c:v>
                </c:pt>
                <c:pt idx="93">
                  <c:v>-3.7625680812244156E-2</c:v>
                </c:pt>
                <c:pt idx="94">
                  <c:v>-7.3432627056370103E-3</c:v>
                </c:pt>
                <c:pt idx="95">
                  <c:v>-3.5535459810277059E-2</c:v>
                </c:pt>
                <c:pt idx="96">
                  <c:v>-0.12658254063773122</c:v>
                </c:pt>
                <c:pt idx="97">
                  <c:v>-2.5916158766581932E-2</c:v>
                </c:pt>
                <c:pt idx="98">
                  <c:v>-2.5339328019994223E-2</c:v>
                </c:pt>
                <c:pt idx="99">
                  <c:v>0.10112137266712667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9D-4317-A2A2-0428B9490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775872"/>
        <c:axId val="1462768672"/>
      </c:scatterChart>
      <c:valAx>
        <c:axId val="146277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68672"/>
        <c:crosses val="autoZero"/>
        <c:crossBetween val="midCat"/>
      </c:valAx>
      <c:valAx>
        <c:axId val="146276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y_i</a:t>
            </a:r>
            <a:r>
              <a:rPr lang="en-IN" baseline="0"/>
              <a:t> vs y_bar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y_i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0.47461267833281184</c:v>
                </c:pt>
                <c:pt idx="1">
                  <c:v>0.74522111847214556</c:v>
                </c:pt>
                <c:pt idx="2">
                  <c:v>0.78367626103568155</c:v>
                </c:pt>
                <c:pt idx="3">
                  <c:v>0.51424339620781434</c:v>
                </c:pt>
                <c:pt idx="4">
                  <c:v>0.92511887266091608</c:v>
                </c:pt>
                <c:pt idx="5">
                  <c:v>6.2868561759879538E-2</c:v>
                </c:pt>
                <c:pt idx="6">
                  <c:v>0.86055351116304912</c:v>
                </c:pt>
                <c:pt idx="7">
                  <c:v>0.92491119339101657</c:v>
                </c:pt>
                <c:pt idx="8">
                  <c:v>0.93958976531529759</c:v>
                </c:pt>
                <c:pt idx="9">
                  <c:v>0.49099303891136425</c:v>
                </c:pt>
                <c:pt idx="10">
                  <c:v>0.55901797995103142</c:v>
                </c:pt>
                <c:pt idx="11">
                  <c:v>0.27797419771294107</c:v>
                </c:pt>
                <c:pt idx="12">
                  <c:v>0.49466554986470013</c:v>
                </c:pt>
                <c:pt idx="13">
                  <c:v>0.21873346974522323</c:v>
                </c:pt>
                <c:pt idx="14">
                  <c:v>0.4858707521743395</c:v>
                </c:pt>
                <c:pt idx="15">
                  <c:v>0.67262619544158198</c:v>
                </c:pt>
                <c:pt idx="16">
                  <c:v>0.89541318735568853</c:v>
                </c:pt>
                <c:pt idx="17">
                  <c:v>0.90117399798370845</c:v>
                </c:pt>
                <c:pt idx="18">
                  <c:v>0.57335015063459582</c:v>
                </c:pt>
                <c:pt idx="19">
                  <c:v>1.3195462911787748E-2</c:v>
                </c:pt>
                <c:pt idx="20">
                  <c:v>0.89948576606136443</c:v>
                </c:pt>
                <c:pt idx="21">
                  <c:v>0.10526791435160987</c:v>
                </c:pt>
                <c:pt idx="22">
                  <c:v>0.60111915205119459</c:v>
                </c:pt>
                <c:pt idx="23">
                  <c:v>0.89814676899681289</c:v>
                </c:pt>
                <c:pt idx="24">
                  <c:v>0.21785024389596419</c:v>
                </c:pt>
                <c:pt idx="25">
                  <c:v>0.80412804634704094</c:v>
                </c:pt>
                <c:pt idx="26">
                  <c:v>5.2182628990731006E-2</c:v>
                </c:pt>
                <c:pt idx="27">
                  <c:v>0.34701188639554448</c:v>
                </c:pt>
                <c:pt idx="28">
                  <c:v>0.30319294777500083</c:v>
                </c:pt>
                <c:pt idx="29">
                  <c:v>0.12077732837950161</c:v>
                </c:pt>
                <c:pt idx="30">
                  <c:v>0.68691773830175284</c:v>
                </c:pt>
                <c:pt idx="31">
                  <c:v>0.90557687916141583</c:v>
                </c:pt>
                <c:pt idx="32">
                  <c:v>0.3608840837588716</c:v>
                </c:pt>
                <c:pt idx="33">
                  <c:v>0.26058154953358714</c:v>
                </c:pt>
                <c:pt idx="34">
                  <c:v>0.62960827766149974</c:v>
                </c:pt>
                <c:pt idx="35">
                  <c:v>0.83698648622291949</c:v>
                </c:pt>
                <c:pt idx="36">
                  <c:v>0.96827460859766834</c:v>
                </c:pt>
                <c:pt idx="37">
                  <c:v>0.66549198827793632</c:v>
                </c:pt>
                <c:pt idx="38">
                  <c:v>0.97703718225851299</c:v>
                </c:pt>
                <c:pt idx="39">
                  <c:v>0.41721564724490812</c:v>
                </c:pt>
                <c:pt idx="40">
                  <c:v>1.0299258527148969E-2</c:v>
                </c:pt>
                <c:pt idx="41">
                  <c:v>7.8790750021327072E-2</c:v>
                </c:pt>
                <c:pt idx="42">
                  <c:v>0.94522302338630648</c:v>
                </c:pt>
                <c:pt idx="43">
                  <c:v>0.91056158328068904</c:v>
                </c:pt>
                <c:pt idx="44">
                  <c:v>9.4138000062018667E-2</c:v>
                </c:pt>
                <c:pt idx="45">
                  <c:v>0.72863515901828346</c:v>
                </c:pt>
                <c:pt idx="46">
                  <c:v>0.19138347066899153</c:v>
                </c:pt>
                <c:pt idx="47">
                  <c:v>0.56492570581543267</c:v>
                </c:pt>
                <c:pt idx="48">
                  <c:v>0.33617368343396137</c:v>
                </c:pt>
                <c:pt idx="49">
                  <c:v>0.76273205512628295</c:v>
                </c:pt>
                <c:pt idx="50">
                  <c:v>0.50816971447729409</c:v>
                </c:pt>
                <c:pt idx="51">
                  <c:v>5.3946604725891412E-2</c:v>
                </c:pt>
                <c:pt idx="52">
                  <c:v>0.85503758843977617</c:v>
                </c:pt>
                <c:pt idx="53">
                  <c:v>0.29340007608860508</c:v>
                </c:pt>
                <c:pt idx="54">
                  <c:v>0.35411189627530182</c:v>
                </c:pt>
                <c:pt idx="55">
                  <c:v>0.28524098853692414</c:v>
                </c:pt>
                <c:pt idx="56">
                  <c:v>0.14880532665274115</c:v>
                </c:pt>
                <c:pt idx="57">
                  <c:v>0.59314132654639506</c:v>
                </c:pt>
                <c:pt idx="58">
                  <c:v>0.82249087867443393</c:v>
                </c:pt>
                <c:pt idx="59">
                  <c:v>0.86434582925389836</c:v>
                </c:pt>
                <c:pt idx="60">
                  <c:v>0.47931622694976117</c:v>
                </c:pt>
                <c:pt idx="61">
                  <c:v>0.97329157419321743</c:v>
                </c:pt>
                <c:pt idx="62">
                  <c:v>0.18439041582405757</c:v>
                </c:pt>
                <c:pt idx="63">
                  <c:v>0.88039956333210889</c:v>
                </c:pt>
                <c:pt idx="64">
                  <c:v>0.12530690449276005</c:v>
                </c:pt>
                <c:pt idx="65">
                  <c:v>0.5545073286885116</c:v>
                </c:pt>
                <c:pt idx="66">
                  <c:v>0.14523864847476131</c:v>
                </c:pt>
                <c:pt idx="67">
                  <c:v>0.28014076642357622</c:v>
                </c:pt>
                <c:pt idx="68">
                  <c:v>0.69389488361948504</c:v>
                </c:pt>
                <c:pt idx="69">
                  <c:v>0.63038707268410776</c:v>
                </c:pt>
                <c:pt idx="70">
                  <c:v>0.42019968489970938</c:v>
                </c:pt>
                <c:pt idx="71">
                  <c:v>0.53276843023752962</c:v>
                </c:pt>
                <c:pt idx="72">
                  <c:v>0.40668176161430936</c:v>
                </c:pt>
                <c:pt idx="73">
                  <c:v>0.79934438448659162</c:v>
                </c:pt>
                <c:pt idx="74">
                  <c:v>0.86643018871094568</c:v>
                </c:pt>
                <c:pt idx="75">
                  <c:v>0.8322844551991988</c:v>
                </c:pt>
                <c:pt idx="76">
                  <c:v>7.96261296272609E-2</c:v>
                </c:pt>
                <c:pt idx="77">
                  <c:v>0.56647229726526283</c:v>
                </c:pt>
                <c:pt idx="78">
                  <c:v>2.593563781625885E-2</c:v>
                </c:pt>
                <c:pt idx="79">
                  <c:v>0.26533386820579574</c:v>
                </c:pt>
                <c:pt idx="80">
                  <c:v>0.92004747351331806</c:v>
                </c:pt>
                <c:pt idx="81">
                  <c:v>0.81613985411024115</c:v>
                </c:pt>
                <c:pt idx="82">
                  <c:v>1.8552054921190053E-2</c:v>
                </c:pt>
                <c:pt idx="83">
                  <c:v>8.0727016687708097E-2</c:v>
                </c:pt>
                <c:pt idx="84">
                  <c:v>7.2974681620635473E-2</c:v>
                </c:pt>
                <c:pt idx="85">
                  <c:v>0.90909606162409806</c:v>
                </c:pt>
                <c:pt idx="86">
                  <c:v>0.56109074718901319</c:v>
                </c:pt>
                <c:pt idx="87">
                  <c:v>2.3926886226807498E-2</c:v>
                </c:pt>
                <c:pt idx="88">
                  <c:v>0.81651577231612948</c:v>
                </c:pt>
                <c:pt idx="89">
                  <c:v>0.85634176556674302</c:v>
                </c:pt>
                <c:pt idx="90">
                  <c:v>0.26055252619903968</c:v>
                </c:pt>
                <c:pt idx="91">
                  <c:v>0.47633629017683343</c:v>
                </c:pt>
                <c:pt idx="92">
                  <c:v>0.36871659815114866</c:v>
                </c:pt>
                <c:pt idx="93">
                  <c:v>0.79999835530122965</c:v>
                </c:pt>
                <c:pt idx="94">
                  <c:v>0.95699065867861133</c:v>
                </c:pt>
                <c:pt idx="95">
                  <c:v>0.60657373835740036</c:v>
                </c:pt>
                <c:pt idx="96">
                  <c:v>0.87287495648026114</c:v>
                </c:pt>
                <c:pt idx="97">
                  <c:v>0.71668752597343455</c:v>
                </c:pt>
                <c:pt idx="98">
                  <c:v>0.46722425337628815</c:v>
                </c:pt>
                <c:pt idx="99">
                  <c:v>0.41164223720157911</c:v>
                </c:pt>
              </c:numCache>
            </c:numRef>
          </c:xVal>
          <c:yVal>
            <c:numRef>
              <c:f>Sheet1!$B$2:$B$101</c:f>
              <c:numCache>
                <c:formatCode>General</c:formatCode>
                <c:ptCount val="100"/>
                <c:pt idx="0">
                  <c:v>0.43261352817168947</c:v>
                </c:pt>
                <c:pt idx="1">
                  <c:v>0.68255838105838473</c:v>
                </c:pt>
                <c:pt idx="2">
                  <c:v>0.81159721683488995</c:v>
                </c:pt>
                <c:pt idx="3">
                  <c:v>0.44928826598805105</c:v>
                </c:pt>
                <c:pt idx="4">
                  <c:v>0.86794130428388083</c:v>
                </c:pt>
                <c:pt idx="5">
                  <c:v>0.29741795189970854</c:v>
                </c:pt>
                <c:pt idx="6">
                  <c:v>0.76402754131303452</c:v>
                </c:pt>
                <c:pt idx="7">
                  <c:v>0.74947773739281165</c:v>
                </c:pt>
                <c:pt idx="8">
                  <c:v>0.7151493458843915</c:v>
                </c:pt>
                <c:pt idx="9">
                  <c:v>0.55277454957131644</c:v>
                </c:pt>
                <c:pt idx="10">
                  <c:v>0.51264586426313941</c:v>
                </c:pt>
                <c:pt idx="11">
                  <c:v>0.44443129482786581</c:v>
                </c:pt>
                <c:pt idx="12">
                  <c:v>0.53955192950192554</c:v>
                </c:pt>
                <c:pt idx="13">
                  <c:v>0.38664960613827359</c:v>
                </c:pt>
                <c:pt idx="14">
                  <c:v>0.4110178911656247</c:v>
                </c:pt>
                <c:pt idx="15">
                  <c:v>0.67884863511012072</c:v>
                </c:pt>
                <c:pt idx="16">
                  <c:v>0.66622186483878487</c:v>
                </c:pt>
                <c:pt idx="17">
                  <c:v>0.65212629441323466</c:v>
                </c:pt>
                <c:pt idx="18">
                  <c:v>0.46508836143507509</c:v>
                </c:pt>
                <c:pt idx="19">
                  <c:v>0.32092922264735685</c:v>
                </c:pt>
                <c:pt idx="20">
                  <c:v>0.82071530506317469</c:v>
                </c:pt>
                <c:pt idx="21">
                  <c:v>0.23724499811961441</c:v>
                </c:pt>
                <c:pt idx="22">
                  <c:v>0.57958504433401936</c:v>
                </c:pt>
                <c:pt idx="23">
                  <c:v>0.74850171721692704</c:v>
                </c:pt>
                <c:pt idx="24">
                  <c:v>0.3982286802703412</c:v>
                </c:pt>
                <c:pt idx="25">
                  <c:v>0.64716941986068943</c:v>
                </c:pt>
                <c:pt idx="26">
                  <c:v>0.31236087166255921</c:v>
                </c:pt>
                <c:pt idx="27">
                  <c:v>0.44397234580704692</c:v>
                </c:pt>
                <c:pt idx="28">
                  <c:v>0.40420326051101885</c:v>
                </c:pt>
                <c:pt idx="29">
                  <c:v>0.34675238240852235</c:v>
                </c:pt>
                <c:pt idx="30">
                  <c:v>0.53618150477829141</c:v>
                </c:pt>
                <c:pt idx="31">
                  <c:v>0.64908190852237502</c:v>
                </c:pt>
                <c:pt idx="32">
                  <c:v>0.37524509358982872</c:v>
                </c:pt>
                <c:pt idx="33">
                  <c:v>0.43375769225290267</c:v>
                </c:pt>
                <c:pt idx="34">
                  <c:v>0.49173214662897324</c:v>
                </c:pt>
                <c:pt idx="35">
                  <c:v>0.84620067172306823</c:v>
                </c:pt>
                <c:pt idx="36">
                  <c:v>0.73627973022094784</c:v>
                </c:pt>
                <c:pt idx="37">
                  <c:v>0.72127953292732239</c:v>
                </c:pt>
                <c:pt idx="38">
                  <c:v>0.88956105778770467</c:v>
                </c:pt>
                <c:pt idx="39">
                  <c:v>0.43070938875103626</c:v>
                </c:pt>
                <c:pt idx="40">
                  <c:v>0.11219625656864281</c:v>
                </c:pt>
                <c:pt idx="41">
                  <c:v>0.1862403115338091</c:v>
                </c:pt>
                <c:pt idx="42">
                  <c:v>0.91147759087987901</c:v>
                </c:pt>
                <c:pt idx="43">
                  <c:v>0.6891019966363584</c:v>
                </c:pt>
                <c:pt idx="44">
                  <c:v>0.2997489928842863</c:v>
                </c:pt>
                <c:pt idx="45">
                  <c:v>0.59429426000280672</c:v>
                </c:pt>
                <c:pt idx="46">
                  <c:v>0.3083837318453353</c:v>
                </c:pt>
                <c:pt idx="47">
                  <c:v>0.49220889984896032</c:v>
                </c:pt>
                <c:pt idx="48">
                  <c:v>0.33652183987236295</c:v>
                </c:pt>
                <c:pt idx="49">
                  <c:v>0.70275148391952413</c:v>
                </c:pt>
                <c:pt idx="50">
                  <c:v>0.49590623521970506</c:v>
                </c:pt>
                <c:pt idx="51">
                  <c:v>0.25205953656697822</c:v>
                </c:pt>
                <c:pt idx="52">
                  <c:v>0.78195236816211977</c:v>
                </c:pt>
                <c:pt idx="53">
                  <c:v>0.36349865139940168</c:v>
                </c:pt>
                <c:pt idx="54">
                  <c:v>0.45946671617606971</c:v>
                </c:pt>
                <c:pt idx="55">
                  <c:v>0.41370848157554141</c:v>
                </c:pt>
                <c:pt idx="56">
                  <c:v>0.36970110393761968</c:v>
                </c:pt>
                <c:pt idx="57">
                  <c:v>0.55197844751117675</c:v>
                </c:pt>
                <c:pt idx="58">
                  <c:v>0.75865373301830485</c:v>
                </c:pt>
                <c:pt idx="59">
                  <c:v>0.79022351938563629</c:v>
                </c:pt>
                <c:pt idx="60">
                  <c:v>0.42493242548929988</c:v>
                </c:pt>
                <c:pt idx="61">
                  <c:v>0.87371234976016232</c:v>
                </c:pt>
                <c:pt idx="62">
                  <c:v>0.37084690022290512</c:v>
                </c:pt>
                <c:pt idx="63">
                  <c:v>0.77901753074964941</c:v>
                </c:pt>
                <c:pt idx="64">
                  <c:v>0.23224960445334369</c:v>
                </c:pt>
                <c:pt idx="65">
                  <c:v>0.45200995402182964</c:v>
                </c:pt>
                <c:pt idx="66">
                  <c:v>0.27047234402558801</c:v>
                </c:pt>
                <c:pt idx="67">
                  <c:v>0.30736946927796149</c:v>
                </c:pt>
                <c:pt idx="68">
                  <c:v>0.74059637393501387</c:v>
                </c:pt>
                <c:pt idx="69">
                  <c:v>0.65696374730766405</c:v>
                </c:pt>
                <c:pt idx="70">
                  <c:v>0.45500668900069818</c:v>
                </c:pt>
                <c:pt idx="71">
                  <c:v>0.44181511725254541</c:v>
                </c:pt>
                <c:pt idx="72">
                  <c:v>0.49732102891431551</c:v>
                </c:pt>
                <c:pt idx="73">
                  <c:v>0.67077018043836301</c:v>
                </c:pt>
                <c:pt idx="74">
                  <c:v>0.79750737047927767</c:v>
                </c:pt>
                <c:pt idx="75">
                  <c:v>0.71306985210681084</c:v>
                </c:pt>
                <c:pt idx="76">
                  <c:v>0.22749538465698904</c:v>
                </c:pt>
                <c:pt idx="77">
                  <c:v>0.50795291188066205</c:v>
                </c:pt>
                <c:pt idx="78">
                  <c:v>0.19999212692780516</c:v>
                </c:pt>
                <c:pt idx="79">
                  <c:v>0.33876499517480929</c:v>
                </c:pt>
                <c:pt idx="80">
                  <c:v>0.73728055118598435</c:v>
                </c:pt>
                <c:pt idx="81">
                  <c:v>0.6406855392789762</c:v>
                </c:pt>
                <c:pt idx="82">
                  <c:v>0.26381590243427799</c:v>
                </c:pt>
                <c:pt idx="83">
                  <c:v>0.30815921310839012</c:v>
                </c:pt>
                <c:pt idx="84">
                  <c:v>0.25772840172413225</c:v>
                </c:pt>
                <c:pt idx="85">
                  <c:v>0.64810372943867733</c:v>
                </c:pt>
                <c:pt idx="86">
                  <c:v>0.51675555692790198</c:v>
                </c:pt>
                <c:pt idx="87">
                  <c:v>0.13167173308608576</c:v>
                </c:pt>
                <c:pt idx="88">
                  <c:v>0.63161946937716262</c:v>
                </c:pt>
                <c:pt idx="89">
                  <c:v>0.77307095404179105</c:v>
                </c:pt>
                <c:pt idx="90">
                  <c:v>0.33394306034970411</c:v>
                </c:pt>
                <c:pt idx="91">
                  <c:v>0.51704788397609558</c:v>
                </c:pt>
                <c:pt idx="92">
                  <c:v>0.47498722303252572</c:v>
                </c:pt>
                <c:pt idx="93">
                  <c:v>0.73453861724285541</c:v>
                </c:pt>
                <c:pt idx="94">
                  <c:v>0.80097678521929949</c:v>
                </c:pt>
                <c:pt idx="95">
                  <c:v>0.61328241223257818</c:v>
                </c:pt>
                <c:pt idx="96">
                  <c:v>0.8683936499477668</c:v>
                </c:pt>
                <c:pt idx="97">
                  <c:v>0.67150255200813191</c:v>
                </c:pt>
                <c:pt idx="98">
                  <c:v>0.51723516820435411</c:v>
                </c:pt>
                <c:pt idx="99">
                  <c:v>0.35653122715166752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D7-4ABE-AB9B-0D16EEC8982D}"/>
            </c:ext>
          </c:extLst>
        </c:ser>
        <c:ser>
          <c:idx val="1"/>
          <c:order val="1"/>
          <c:tx>
            <c:v>y_bar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Sheet1!$A$2:$A$101</c:f>
              <c:numCache>
                <c:formatCode>General</c:formatCode>
                <c:ptCount val="100"/>
                <c:pt idx="0">
                  <c:v>0.47461267833281184</c:v>
                </c:pt>
                <c:pt idx="1">
                  <c:v>0.74522111847214556</c:v>
                </c:pt>
                <c:pt idx="2">
                  <c:v>0.78367626103568155</c:v>
                </c:pt>
                <c:pt idx="3">
                  <c:v>0.51424339620781434</c:v>
                </c:pt>
                <c:pt idx="4">
                  <c:v>0.92511887266091608</c:v>
                </c:pt>
                <c:pt idx="5">
                  <c:v>6.2868561759879538E-2</c:v>
                </c:pt>
                <c:pt idx="6">
                  <c:v>0.86055351116304912</c:v>
                </c:pt>
                <c:pt idx="7">
                  <c:v>0.92491119339101657</c:v>
                </c:pt>
                <c:pt idx="8">
                  <c:v>0.93958976531529759</c:v>
                </c:pt>
                <c:pt idx="9">
                  <c:v>0.49099303891136425</c:v>
                </c:pt>
                <c:pt idx="10">
                  <c:v>0.55901797995103142</c:v>
                </c:pt>
                <c:pt idx="11">
                  <c:v>0.27797419771294107</c:v>
                </c:pt>
                <c:pt idx="12">
                  <c:v>0.49466554986470013</c:v>
                </c:pt>
                <c:pt idx="13">
                  <c:v>0.21873346974522323</c:v>
                </c:pt>
                <c:pt idx="14">
                  <c:v>0.4858707521743395</c:v>
                </c:pt>
                <c:pt idx="15">
                  <c:v>0.67262619544158198</c:v>
                </c:pt>
                <c:pt idx="16">
                  <c:v>0.89541318735568853</c:v>
                </c:pt>
                <c:pt idx="17">
                  <c:v>0.90117399798370845</c:v>
                </c:pt>
                <c:pt idx="18">
                  <c:v>0.57335015063459582</c:v>
                </c:pt>
                <c:pt idx="19">
                  <c:v>1.3195462911787748E-2</c:v>
                </c:pt>
                <c:pt idx="20">
                  <c:v>0.89948576606136443</c:v>
                </c:pt>
                <c:pt idx="21">
                  <c:v>0.10526791435160987</c:v>
                </c:pt>
                <c:pt idx="22">
                  <c:v>0.60111915205119459</c:v>
                </c:pt>
                <c:pt idx="23">
                  <c:v>0.89814676899681289</c:v>
                </c:pt>
                <c:pt idx="24">
                  <c:v>0.21785024389596419</c:v>
                </c:pt>
                <c:pt idx="25">
                  <c:v>0.80412804634704094</c:v>
                </c:pt>
                <c:pt idx="26">
                  <c:v>5.2182628990731006E-2</c:v>
                </c:pt>
                <c:pt idx="27">
                  <c:v>0.34701188639554448</c:v>
                </c:pt>
                <c:pt idx="28">
                  <c:v>0.30319294777500083</c:v>
                </c:pt>
                <c:pt idx="29">
                  <c:v>0.12077732837950161</c:v>
                </c:pt>
                <c:pt idx="30">
                  <c:v>0.68691773830175284</c:v>
                </c:pt>
                <c:pt idx="31">
                  <c:v>0.90557687916141583</c:v>
                </c:pt>
                <c:pt idx="32">
                  <c:v>0.3608840837588716</c:v>
                </c:pt>
                <c:pt idx="33">
                  <c:v>0.26058154953358714</c:v>
                </c:pt>
                <c:pt idx="34">
                  <c:v>0.62960827766149974</c:v>
                </c:pt>
                <c:pt idx="35">
                  <c:v>0.83698648622291949</c:v>
                </c:pt>
                <c:pt idx="36">
                  <c:v>0.96827460859766834</c:v>
                </c:pt>
                <c:pt idx="37">
                  <c:v>0.66549198827793632</c:v>
                </c:pt>
                <c:pt idx="38">
                  <c:v>0.97703718225851299</c:v>
                </c:pt>
                <c:pt idx="39">
                  <c:v>0.41721564724490812</c:v>
                </c:pt>
                <c:pt idx="40">
                  <c:v>1.0299258527148969E-2</c:v>
                </c:pt>
                <c:pt idx="41">
                  <c:v>7.8790750021327072E-2</c:v>
                </c:pt>
                <c:pt idx="42">
                  <c:v>0.94522302338630648</c:v>
                </c:pt>
                <c:pt idx="43">
                  <c:v>0.91056158328068904</c:v>
                </c:pt>
                <c:pt idx="44">
                  <c:v>9.4138000062018667E-2</c:v>
                </c:pt>
                <c:pt idx="45">
                  <c:v>0.72863515901828346</c:v>
                </c:pt>
                <c:pt idx="46">
                  <c:v>0.19138347066899153</c:v>
                </c:pt>
                <c:pt idx="47">
                  <c:v>0.56492570581543267</c:v>
                </c:pt>
                <c:pt idx="48">
                  <c:v>0.33617368343396137</c:v>
                </c:pt>
                <c:pt idx="49">
                  <c:v>0.76273205512628295</c:v>
                </c:pt>
                <c:pt idx="50">
                  <c:v>0.50816971447729409</c:v>
                </c:pt>
                <c:pt idx="51">
                  <c:v>5.3946604725891412E-2</c:v>
                </c:pt>
                <c:pt idx="52">
                  <c:v>0.85503758843977617</c:v>
                </c:pt>
                <c:pt idx="53">
                  <c:v>0.29340007608860508</c:v>
                </c:pt>
                <c:pt idx="54">
                  <c:v>0.35411189627530182</c:v>
                </c:pt>
                <c:pt idx="55">
                  <c:v>0.28524098853692414</c:v>
                </c:pt>
                <c:pt idx="56">
                  <c:v>0.14880532665274115</c:v>
                </c:pt>
                <c:pt idx="57">
                  <c:v>0.59314132654639506</c:v>
                </c:pt>
                <c:pt idx="58">
                  <c:v>0.82249087867443393</c:v>
                </c:pt>
                <c:pt idx="59">
                  <c:v>0.86434582925389836</c:v>
                </c:pt>
                <c:pt idx="60">
                  <c:v>0.47931622694976117</c:v>
                </c:pt>
                <c:pt idx="61">
                  <c:v>0.97329157419321743</c:v>
                </c:pt>
                <c:pt idx="62">
                  <c:v>0.18439041582405757</c:v>
                </c:pt>
                <c:pt idx="63">
                  <c:v>0.88039956333210889</c:v>
                </c:pt>
                <c:pt idx="64">
                  <c:v>0.12530690449276005</c:v>
                </c:pt>
                <c:pt idx="65">
                  <c:v>0.5545073286885116</c:v>
                </c:pt>
                <c:pt idx="66">
                  <c:v>0.14523864847476131</c:v>
                </c:pt>
                <c:pt idx="67">
                  <c:v>0.28014076642357622</c:v>
                </c:pt>
                <c:pt idx="68">
                  <c:v>0.69389488361948504</c:v>
                </c:pt>
                <c:pt idx="69">
                  <c:v>0.63038707268410776</c:v>
                </c:pt>
                <c:pt idx="70">
                  <c:v>0.42019968489970938</c:v>
                </c:pt>
                <c:pt idx="71">
                  <c:v>0.53276843023752962</c:v>
                </c:pt>
                <c:pt idx="72">
                  <c:v>0.40668176161430936</c:v>
                </c:pt>
                <c:pt idx="73">
                  <c:v>0.79934438448659162</c:v>
                </c:pt>
                <c:pt idx="74">
                  <c:v>0.86643018871094568</c:v>
                </c:pt>
                <c:pt idx="75">
                  <c:v>0.8322844551991988</c:v>
                </c:pt>
                <c:pt idx="76">
                  <c:v>7.96261296272609E-2</c:v>
                </c:pt>
                <c:pt idx="77">
                  <c:v>0.56647229726526283</c:v>
                </c:pt>
                <c:pt idx="78">
                  <c:v>2.593563781625885E-2</c:v>
                </c:pt>
                <c:pt idx="79">
                  <c:v>0.26533386820579574</c:v>
                </c:pt>
                <c:pt idx="80">
                  <c:v>0.92004747351331806</c:v>
                </c:pt>
                <c:pt idx="81">
                  <c:v>0.81613985411024115</c:v>
                </c:pt>
                <c:pt idx="82">
                  <c:v>1.8552054921190053E-2</c:v>
                </c:pt>
                <c:pt idx="83">
                  <c:v>8.0727016687708097E-2</c:v>
                </c:pt>
                <c:pt idx="84">
                  <c:v>7.2974681620635473E-2</c:v>
                </c:pt>
                <c:pt idx="85">
                  <c:v>0.90909606162409806</c:v>
                </c:pt>
                <c:pt idx="86">
                  <c:v>0.56109074718901319</c:v>
                </c:pt>
                <c:pt idx="87">
                  <c:v>2.3926886226807498E-2</c:v>
                </c:pt>
                <c:pt idx="88">
                  <c:v>0.81651577231612948</c:v>
                </c:pt>
                <c:pt idx="89">
                  <c:v>0.85634176556674302</c:v>
                </c:pt>
                <c:pt idx="90">
                  <c:v>0.26055252619903968</c:v>
                </c:pt>
                <c:pt idx="91">
                  <c:v>0.47633629017683343</c:v>
                </c:pt>
                <c:pt idx="92">
                  <c:v>0.36871659815114866</c:v>
                </c:pt>
                <c:pt idx="93">
                  <c:v>0.79999835530122965</c:v>
                </c:pt>
                <c:pt idx="94">
                  <c:v>0.95699065867861133</c:v>
                </c:pt>
                <c:pt idx="95">
                  <c:v>0.60657373835740036</c:v>
                </c:pt>
                <c:pt idx="96">
                  <c:v>0.87287495648026114</c:v>
                </c:pt>
                <c:pt idx="97">
                  <c:v>0.71668752597343455</c:v>
                </c:pt>
                <c:pt idx="98">
                  <c:v>0.46722425337628815</c:v>
                </c:pt>
                <c:pt idx="99">
                  <c:v>0.41164223720157911</c:v>
                </c:pt>
              </c:numCache>
            </c:numRef>
          </c:xVal>
          <c:yVal>
            <c:numRef>
              <c:f>Sheet1!$L$2:$L$101</c:f>
              <c:numCache>
                <c:formatCode>General</c:formatCode>
                <c:ptCount val="100"/>
                <c:pt idx="0">
                  <c:v>0.53074389682164513</c:v>
                </c:pt>
                <c:pt idx="1">
                  <c:v>0.53074389682164513</c:v>
                </c:pt>
                <c:pt idx="2">
                  <c:v>0.53074389682164513</c:v>
                </c:pt>
                <c:pt idx="3">
                  <c:v>0.53074389682164513</c:v>
                </c:pt>
                <c:pt idx="4">
                  <c:v>0.53074389682164513</c:v>
                </c:pt>
                <c:pt idx="5">
                  <c:v>0.53074389682164513</c:v>
                </c:pt>
                <c:pt idx="6">
                  <c:v>0.53074389682164513</c:v>
                </c:pt>
                <c:pt idx="7">
                  <c:v>0.53074389682164513</c:v>
                </c:pt>
                <c:pt idx="8">
                  <c:v>0.53074389682164513</c:v>
                </c:pt>
                <c:pt idx="9">
                  <c:v>0.53074389682164513</c:v>
                </c:pt>
                <c:pt idx="10">
                  <c:v>0.53074389682164513</c:v>
                </c:pt>
                <c:pt idx="11">
                  <c:v>0.53074389682164513</c:v>
                </c:pt>
                <c:pt idx="12">
                  <c:v>0.53074389682164513</c:v>
                </c:pt>
                <c:pt idx="13">
                  <c:v>0.53074389682164513</c:v>
                </c:pt>
                <c:pt idx="14">
                  <c:v>0.53074389682164513</c:v>
                </c:pt>
                <c:pt idx="15">
                  <c:v>0.53074389682164513</c:v>
                </c:pt>
                <c:pt idx="16">
                  <c:v>0.53074389682164513</c:v>
                </c:pt>
                <c:pt idx="17">
                  <c:v>0.53074389682164513</c:v>
                </c:pt>
                <c:pt idx="18">
                  <c:v>0.53074389682164513</c:v>
                </c:pt>
                <c:pt idx="19">
                  <c:v>0.53074389682164513</c:v>
                </c:pt>
                <c:pt idx="20">
                  <c:v>0.53074389682164513</c:v>
                </c:pt>
                <c:pt idx="21">
                  <c:v>0.53074389682164513</c:v>
                </c:pt>
                <c:pt idx="22">
                  <c:v>0.53074389682164513</c:v>
                </c:pt>
                <c:pt idx="23">
                  <c:v>0.53074389682164513</c:v>
                </c:pt>
                <c:pt idx="24">
                  <c:v>0.53074389682164513</c:v>
                </c:pt>
                <c:pt idx="25">
                  <c:v>0.53074389682164513</c:v>
                </c:pt>
                <c:pt idx="26">
                  <c:v>0.53074389682164513</c:v>
                </c:pt>
                <c:pt idx="27">
                  <c:v>0.53074389682164513</c:v>
                </c:pt>
                <c:pt idx="28">
                  <c:v>0.53074389682164513</c:v>
                </c:pt>
                <c:pt idx="29">
                  <c:v>0.53074389682164513</c:v>
                </c:pt>
                <c:pt idx="30">
                  <c:v>0.53074389682164513</c:v>
                </c:pt>
                <c:pt idx="31">
                  <c:v>0.53074389682164513</c:v>
                </c:pt>
                <c:pt idx="32">
                  <c:v>0.53074389682164513</c:v>
                </c:pt>
                <c:pt idx="33">
                  <c:v>0.53074389682164513</c:v>
                </c:pt>
                <c:pt idx="34">
                  <c:v>0.53074389682164513</c:v>
                </c:pt>
                <c:pt idx="35">
                  <c:v>0.53074389682164513</c:v>
                </c:pt>
                <c:pt idx="36">
                  <c:v>0.53074389682164513</c:v>
                </c:pt>
                <c:pt idx="37">
                  <c:v>0.53074389682164513</c:v>
                </c:pt>
                <c:pt idx="38">
                  <c:v>0.53074389682164513</c:v>
                </c:pt>
                <c:pt idx="39">
                  <c:v>0.53074389682164513</c:v>
                </c:pt>
                <c:pt idx="40">
                  <c:v>0.53074389682164513</c:v>
                </c:pt>
                <c:pt idx="41">
                  <c:v>0.53074389682164513</c:v>
                </c:pt>
                <c:pt idx="42">
                  <c:v>0.53074389682164513</c:v>
                </c:pt>
                <c:pt idx="43">
                  <c:v>0.53074389682164513</c:v>
                </c:pt>
                <c:pt idx="44">
                  <c:v>0.53074389682164513</c:v>
                </c:pt>
                <c:pt idx="45">
                  <c:v>0.53074389682164513</c:v>
                </c:pt>
                <c:pt idx="46">
                  <c:v>0.53074389682164513</c:v>
                </c:pt>
                <c:pt idx="47">
                  <c:v>0.53074389682164513</c:v>
                </c:pt>
                <c:pt idx="48">
                  <c:v>0.53074389682164513</c:v>
                </c:pt>
                <c:pt idx="49">
                  <c:v>0.53074389682164513</c:v>
                </c:pt>
                <c:pt idx="50">
                  <c:v>0.53074389682164513</c:v>
                </c:pt>
                <c:pt idx="51">
                  <c:v>0.53074389682164513</c:v>
                </c:pt>
                <c:pt idx="52">
                  <c:v>0.53074389682164513</c:v>
                </c:pt>
                <c:pt idx="53">
                  <c:v>0.53074389682164513</c:v>
                </c:pt>
                <c:pt idx="54">
                  <c:v>0.53074389682164513</c:v>
                </c:pt>
                <c:pt idx="55">
                  <c:v>0.53074389682164513</c:v>
                </c:pt>
                <c:pt idx="56">
                  <c:v>0.53074389682164513</c:v>
                </c:pt>
                <c:pt idx="57">
                  <c:v>0.53074389682164513</c:v>
                </c:pt>
                <c:pt idx="58">
                  <c:v>0.53074389682164513</c:v>
                </c:pt>
                <c:pt idx="59">
                  <c:v>0.53074389682164513</c:v>
                </c:pt>
                <c:pt idx="60">
                  <c:v>0.53074389682164513</c:v>
                </c:pt>
                <c:pt idx="61">
                  <c:v>0.53074389682164513</c:v>
                </c:pt>
                <c:pt idx="62">
                  <c:v>0.53074389682164513</c:v>
                </c:pt>
                <c:pt idx="63">
                  <c:v>0.53074389682164513</c:v>
                </c:pt>
                <c:pt idx="64">
                  <c:v>0.53074389682164513</c:v>
                </c:pt>
                <c:pt idx="65">
                  <c:v>0.53074389682164513</c:v>
                </c:pt>
                <c:pt idx="66">
                  <c:v>0.53074389682164513</c:v>
                </c:pt>
                <c:pt idx="67">
                  <c:v>0.53074389682164513</c:v>
                </c:pt>
                <c:pt idx="68">
                  <c:v>0.53074389682164513</c:v>
                </c:pt>
                <c:pt idx="69">
                  <c:v>0.53074389682164513</c:v>
                </c:pt>
                <c:pt idx="70">
                  <c:v>0.53074389682164513</c:v>
                </c:pt>
                <c:pt idx="71">
                  <c:v>0.53074389682164513</c:v>
                </c:pt>
                <c:pt idx="72">
                  <c:v>0.53074389682164513</c:v>
                </c:pt>
                <c:pt idx="73">
                  <c:v>0.53074389682164513</c:v>
                </c:pt>
                <c:pt idx="74">
                  <c:v>0.53074389682164513</c:v>
                </c:pt>
                <c:pt idx="75">
                  <c:v>0.53074389682164513</c:v>
                </c:pt>
                <c:pt idx="76">
                  <c:v>0.53074389682164513</c:v>
                </c:pt>
                <c:pt idx="77">
                  <c:v>0.53074389682164513</c:v>
                </c:pt>
                <c:pt idx="78">
                  <c:v>0.53074389682164513</c:v>
                </c:pt>
                <c:pt idx="79">
                  <c:v>0.53074389682164513</c:v>
                </c:pt>
                <c:pt idx="80">
                  <c:v>0.53074389682164513</c:v>
                </c:pt>
                <c:pt idx="81">
                  <c:v>0.53074389682164513</c:v>
                </c:pt>
                <c:pt idx="82">
                  <c:v>0.53074389682164513</c:v>
                </c:pt>
                <c:pt idx="83">
                  <c:v>0.53074389682164513</c:v>
                </c:pt>
                <c:pt idx="84">
                  <c:v>0.53074389682164513</c:v>
                </c:pt>
                <c:pt idx="85">
                  <c:v>0.53074389682164513</c:v>
                </c:pt>
                <c:pt idx="86">
                  <c:v>0.53074389682164513</c:v>
                </c:pt>
                <c:pt idx="87">
                  <c:v>0.53074389682164513</c:v>
                </c:pt>
                <c:pt idx="88">
                  <c:v>0.53074389682164513</c:v>
                </c:pt>
                <c:pt idx="89">
                  <c:v>0.53074389682164513</c:v>
                </c:pt>
                <c:pt idx="90">
                  <c:v>0.53074389682164513</c:v>
                </c:pt>
                <c:pt idx="91">
                  <c:v>0.53074389682164513</c:v>
                </c:pt>
                <c:pt idx="92">
                  <c:v>0.53074389682164513</c:v>
                </c:pt>
                <c:pt idx="93">
                  <c:v>0.53074389682164513</c:v>
                </c:pt>
                <c:pt idx="94">
                  <c:v>0.53074389682164513</c:v>
                </c:pt>
                <c:pt idx="95">
                  <c:v>0.53074389682164513</c:v>
                </c:pt>
                <c:pt idx="96">
                  <c:v>0.53074389682164513</c:v>
                </c:pt>
                <c:pt idx="97">
                  <c:v>0.53074389682164513</c:v>
                </c:pt>
                <c:pt idx="98">
                  <c:v>0.53074389682164513</c:v>
                </c:pt>
                <c:pt idx="99">
                  <c:v>0.53074389682164513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D7-4ABE-AB9B-0D16EEC89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156352"/>
        <c:axId val="1931153472"/>
      </c:scatterChart>
      <c:valAx>
        <c:axId val="193115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153472"/>
        <c:crosses val="autoZero"/>
        <c:crossBetween val="midCat"/>
      </c:valAx>
      <c:valAx>
        <c:axId val="193115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15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Error</a:t>
            </a:r>
            <a:r>
              <a:rPr lang="en-IN" baseline="0"/>
              <a:t> Distribution with error for y_bar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0.47461267833281184</c:v>
                </c:pt>
                <c:pt idx="1">
                  <c:v>0.74522111847214556</c:v>
                </c:pt>
                <c:pt idx="2">
                  <c:v>0.78367626103568155</c:v>
                </c:pt>
                <c:pt idx="3">
                  <c:v>0.51424339620781434</c:v>
                </c:pt>
                <c:pt idx="4">
                  <c:v>0.92511887266091608</c:v>
                </c:pt>
                <c:pt idx="5">
                  <c:v>6.2868561759879538E-2</c:v>
                </c:pt>
                <c:pt idx="6">
                  <c:v>0.86055351116304912</c:v>
                </c:pt>
                <c:pt idx="7">
                  <c:v>0.92491119339101657</c:v>
                </c:pt>
                <c:pt idx="8">
                  <c:v>0.93958976531529759</c:v>
                </c:pt>
                <c:pt idx="9">
                  <c:v>0.49099303891136425</c:v>
                </c:pt>
                <c:pt idx="10">
                  <c:v>0.55901797995103142</c:v>
                </c:pt>
                <c:pt idx="11">
                  <c:v>0.27797419771294107</c:v>
                </c:pt>
                <c:pt idx="12">
                  <c:v>0.49466554986470013</c:v>
                </c:pt>
                <c:pt idx="13">
                  <c:v>0.21873346974522323</c:v>
                </c:pt>
                <c:pt idx="14">
                  <c:v>0.4858707521743395</c:v>
                </c:pt>
                <c:pt idx="15">
                  <c:v>0.67262619544158198</c:v>
                </c:pt>
                <c:pt idx="16">
                  <c:v>0.89541318735568853</c:v>
                </c:pt>
                <c:pt idx="17">
                  <c:v>0.90117399798370845</c:v>
                </c:pt>
                <c:pt idx="18">
                  <c:v>0.57335015063459582</c:v>
                </c:pt>
                <c:pt idx="19">
                  <c:v>1.3195462911787748E-2</c:v>
                </c:pt>
                <c:pt idx="20">
                  <c:v>0.89948576606136443</c:v>
                </c:pt>
                <c:pt idx="21">
                  <c:v>0.10526791435160987</c:v>
                </c:pt>
                <c:pt idx="22">
                  <c:v>0.60111915205119459</c:v>
                </c:pt>
                <c:pt idx="23">
                  <c:v>0.89814676899681289</c:v>
                </c:pt>
                <c:pt idx="24">
                  <c:v>0.21785024389596419</c:v>
                </c:pt>
                <c:pt idx="25">
                  <c:v>0.80412804634704094</c:v>
                </c:pt>
                <c:pt idx="26">
                  <c:v>5.2182628990731006E-2</c:v>
                </c:pt>
                <c:pt idx="27">
                  <c:v>0.34701188639554448</c:v>
                </c:pt>
                <c:pt idx="28">
                  <c:v>0.30319294777500083</c:v>
                </c:pt>
                <c:pt idx="29">
                  <c:v>0.12077732837950161</c:v>
                </c:pt>
                <c:pt idx="30">
                  <c:v>0.68691773830175284</c:v>
                </c:pt>
                <c:pt idx="31">
                  <c:v>0.90557687916141583</c:v>
                </c:pt>
                <c:pt idx="32">
                  <c:v>0.3608840837588716</c:v>
                </c:pt>
                <c:pt idx="33">
                  <c:v>0.26058154953358714</c:v>
                </c:pt>
                <c:pt idx="34">
                  <c:v>0.62960827766149974</c:v>
                </c:pt>
                <c:pt idx="35">
                  <c:v>0.83698648622291949</c:v>
                </c:pt>
                <c:pt idx="36">
                  <c:v>0.96827460859766834</c:v>
                </c:pt>
                <c:pt idx="37">
                  <c:v>0.66549198827793632</c:v>
                </c:pt>
                <c:pt idx="38">
                  <c:v>0.97703718225851299</c:v>
                </c:pt>
                <c:pt idx="39">
                  <c:v>0.41721564724490812</c:v>
                </c:pt>
                <c:pt idx="40">
                  <c:v>1.0299258527148969E-2</c:v>
                </c:pt>
                <c:pt idx="41">
                  <c:v>7.8790750021327072E-2</c:v>
                </c:pt>
                <c:pt idx="42">
                  <c:v>0.94522302338630648</c:v>
                </c:pt>
                <c:pt idx="43">
                  <c:v>0.91056158328068904</c:v>
                </c:pt>
                <c:pt idx="44">
                  <c:v>9.4138000062018667E-2</c:v>
                </c:pt>
                <c:pt idx="45">
                  <c:v>0.72863515901828346</c:v>
                </c:pt>
                <c:pt idx="46">
                  <c:v>0.19138347066899153</c:v>
                </c:pt>
                <c:pt idx="47">
                  <c:v>0.56492570581543267</c:v>
                </c:pt>
                <c:pt idx="48">
                  <c:v>0.33617368343396137</c:v>
                </c:pt>
                <c:pt idx="49">
                  <c:v>0.76273205512628295</c:v>
                </c:pt>
                <c:pt idx="50">
                  <c:v>0.50816971447729409</c:v>
                </c:pt>
                <c:pt idx="51">
                  <c:v>5.3946604725891412E-2</c:v>
                </c:pt>
                <c:pt idx="52">
                  <c:v>0.85503758843977617</c:v>
                </c:pt>
                <c:pt idx="53">
                  <c:v>0.29340007608860508</c:v>
                </c:pt>
                <c:pt idx="54">
                  <c:v>0.35411189627530182</c:v>
                </c:pt>
                <c:pt idx="55">
                  <c:v>0.28524098853692414</c:v>
                </c:pt>
                <c:pt idx="56">
                  <c:v>0.14880532665274115</c:v>
                </c:pt>
                <c:pt idx="57">
                  <c:v>0.59314132654639506</c:v>
                </c:pt>
                <c:pt idx="58">
                  <c:v>0.82249087867443393</c:v>
                </c:pt>
                <c:pt idx="59">
                  <c:v>0.86434582925389836</c:v>
                </c:pt>
                <c:pt idx="60">
                  <c:v>0.47931622694976117</c:v>
                </c:pt>
                <c:pt idx="61">
                  <c:v>0.97329157419321743</c:v>
                </c:pt>
                <c:pt idx="62">
                  <c:v>0.18439041582405757</c:v>
                </c:pt>
                <c:pt idx="63">
                  <c:v>0.88039956333210889</c:v>
                </c:pt>
                <c:pt idx="64">
                  <c:v>0.12530690449276005</c:v>
                </c:pt>
                <c:pt idx="65">
                  <c:v>0.5545073286885116</c:v>
                </c:pt>
                <c:pt idx="66">
                  <c:v>0.14523864847476131</c:v>
                </c:pt>
                <c:pt idx="67">
                  <c:v>0.28014076642357622</c:v>
                </c:pt>
                <c:pt idx="68">
                  <c:v>0.69389488361948504</c:v>
                </c:pt>
                <c:pt idx="69">
                  <c:v>0.63038707268410776</c:v>
                </c:pt>
                <c:pt idx="70">
                  <c:v>0.42019968489970938</c:v>
                </c:pt>
                <c:pt idx="71">
                  <c:v>0.53276843023752962</c:v>
                </c:pt>
                <c:pt idx="72">
                  <c:v>0.40668176161430936</c:v>
                </c:pt>
                <c:pt idx="73">
                  <c:v>0.79934438448659162</c:v>
                </c:pt>
                <c:pt idx="74">
                  <c:v>0.86643018871094568</c:v>
                </c:pt>
                <c:pt idx="75">
                  <c:v>0.8322844551991988</c:v>
                </c:pt>
                <c:pt idx="76">
                  <c:v>7.96261296272609E-2</c:v>
                </c:pt>
                <c:pt idx="77">
                  <c:v>0.56647229726526283</c:v>
                </c:pt>
                <c:pt idx="78">
                  <c:v>2.593563781625885E-2</c:v>
                </c:pt>
                <c:pt idx="79">
                  <c:v>0.26533386820579574</c:v>
                </c:pt>
                <c:pt idx="80">
                  <c:v>0.92004747351331806</c:v>
                </c:pt>
                <c:pt idx="81">
                  <c:v>0.81613985411024115</c:v>
                </c:pt>
                <c:pt idx="82">
                  <c:v>1.8552054921190053E-2</c:v>
                </c:pt>
                <c:pt idx="83">
                  <c:v>8.0727016687708097E-2</c:v>
                </c:pt>
                <c:pt idx="84">
                  <c:v>7.2974681620635473E-2</c:v>
                </c:pt>
                <c:pt idx="85">
                  <c:v>0.90909606162409806</c:v>
                </c:pt>
                <c:pt idx="86">
                  <c:v>0.56109074718901319</c:v>
                </c:pt>
                <c:pt idx="87">
                  <c:v>2.3926886226807498E-2</c:v>
                </c:pt>
                <c:pt idx="88">
                  <c:v>0.81651577231612948</c:v>
                </c:pt>
                <c:pt idx="89">
                  <c:v>0.85634176556674302</c:v>
                </c:pt>
                <c:pt idx="90">
                  <c:v>0.26055252619903968</c:v>
                </c:pt>
                <c:pt idx="91">
                  <c:v>0.47633629017683343</c:v>
                </c:pt>
                <c:pt idx="92">
                  <c:v>0.36871659815114866</c:v>
                </c:pt>
                <c:pt idx="93">
                  <c:v>0.79999835530122965</c:v>
                </c:pt>
                <c:pt idx="94">
                  <c:v>0.95699065867861133</c:v>
                </c:pt>
                <c:pt idx="95">
                  <c:v>0.60657373835740036</c:v>
                </c:pt>
                <c:pt idx="96">
                  <c:v>0.87287495648026114</c:v>
                </c:pt>
                <c:pt idx="97">
                  <c:v>0.71668752597343455</c:v>
                </c:pt>
                <c:pt idx="98">
                  <c:v>0.46722425337628815</c:v>
                </c:pt>
                <c:pt idx="99">
                  <c:v>0.41164223720157911</c:v>
                </c:pt>
              </c:numCache>
            </c:numRef>
          </c:xVal>
          <c:yVal>
            <c:numRef>
              <c:f>Sheet1!$M$2:$M$101</c:f>
              <c:numCache>
                <c:formatCode>General</c:formatCode>
                <c:ptCount val="100"/>
                <c:pt idx="0">
                  <c:v>9.8130368649955668E-2</c:v>
                </c:pt>
                <c:pt idx="1">
                  <c:v>-0.1518144842367396</c:v>
                </c:pt>
                <c:pt idx="2">
                  <c:v>-0.28085332001324481</c:v>
                </c:pt>
                <c:pt idx="3">
                  <c:v>8.1455630833594084E-2</c:v>
                </c:pt>
                <c:pt idx="4">
                  <c:v>-0.3371974074622357</c:v>
                </c:pt>
                <c:pt idx="5">
                  <c:v>0.23332594492193659</c:v>
                </c:pt>
                <c:pt idx="6">
                  <c:v>-0.23328364449138939</c:v>
                </c:pt>
                <c:pt idx="7">
                  <c:v>-0.21873384057116652</c:v>
                </c:pt>
                <c:pt idx="8">
                  <c:v>-0.18440544906274636</c:v>
                </c:pt>
                <c:pt idx="9">
                  <c:v>-2.2030652749671309E-2</c:v>
                </c:pt>
                <c:pt idx="10">
                  <c:v>1.8098032558505728E-2</c:v>
                </c:pt>
                <c:pt idx="11">
                  <c:v>8.6312601993779325E-2</c:v>
                </c:pt>
                <c:pt idx="12">
                  <c:v>-8.8080326802804088E-3</c:v>
                </c:pt>
                <c:pt idx="13">
                  <c:v>0.14409429068337154</c:v>
                </c:pt>
                <c:pt idx="14">
                  <c:v>0.11972600565602043</c:v>
                </c:pt>
                <c:pt idx="15">
                  <c:v>-0.14810473828847559</c:v>
                </c:pt>
                <c:pt idx="16">
                  <c:v>-0.13547796801713974</c:v>
                </c:pt>
                <c:pt idx="17">
                  <c:v>-0.12138239759158953</c:v>
                </c:pt>
                <c:pt idx="18">
                  <c:v>6.5655535386570041E-2</c:v>
                </c:pt>
                <c:pt idx="19">
                  <c:v>0.20981467417428828</c:v>
                </c:pt>
                <c:pt idx="20">
                  <c:v>-0.28997140824152956</c:v>
                </c:pt>
                <c:pt idx="21">
                  <c:v>0.29349889870203072</c:v>
                </c:pt>
                <c:pt idx="22">
                  <c:v>-4.8841147512374228E-2</c:v>
                </c:pt>
                <c:pt idx="23">
                  <c:v>-0.21775782039528191</c:v>
                </c:pt>
                <c:pt idx="24">
                  <c:v>0.13251521655130394</c:v>
                </c:pt>
                <c:pt idx="25">
                  <c:v>-0.1164255230390443</c:v>
                </c:pt>
                <c:pt idx="26">
                  <c:v>0.21838302515908592</c:v>
                </c:pt>
                <c:pt idx="27">
                  <c:v>8.6771551014598214E-2</c:v>
                </c:pt>
                <c:pt idx="28">
                  <c:v>0.12654063631062629</c:v>
                </c:pt>
                <c:pt idx="29">
                  <c:v>0.18399151441312278</c:v>
                </c:pt>
                <c:pt idx="30">
                  <c:v>-5.4376079566462732E-3</c:v>
                </c:pt>
                <c:pt idx="31">
                  <c:v>-0.11833801170072988</c:v>
                </c:pt>
                <c:pt idx="32">
                  <c:v>0.15549880323181642</c:v>
                </c:pt>
                <c:pt idx="33">
                  <c:v>9.6986204568742462E-2</c:v>
                </c:pt>
                <c:pt idx="34">
                  <c:v>3.901175019267189E-2</c:v>
                </c:pt>
                <c:pt idx="35">
                  <c:v>-0.3154567749014231</c:v>
                </c:pt>
                <c:pt idx="36">
                  <c:v>-0.2055358333993027</c:v>
                </c:pt>
                <c:pt idx="37">
                  <c:v>-0.19053563610567725</c:v>
                </c:pt>
                <c:pt idx="38">
                  <c:v>-0.35881716096605953</c:v>
                </c:pt>
                <c:pt idx="39">
                  <c:v>0.10003450807060887</c:v>
                </c:pt>
                <c:pt idx="40">
                  <c:v>0.41854764025300234</c:v>
                </c:pt>
                <c:pt idx="41">
                  <c:v>0.34450358528783603</c:v>
                </c:pt>
                <c:pt idx="42">
                  <c:v>-0.38073369405823387</c:v>
                </c:pt>
                <c:pt idx="43">
                  <c:v>-0.15835809981471327</c:v>
                </c:pt>
                <c:pt idx="44">
                  <c:v>0.23099490393735883</c:v>
                </c:pt>
                <c:pt idx="45">
                  <c:v>-6.3550363181161584E-2</c:v>
                </c:pt>
                <c:pt idx="46">
                  <c:v>0.22236016497630984</c:v>
                </c:pt>
                <c:pt idx="47">
                  <c:v>3.853499697268481E-2</c:v>
                </c:pt>
                <c:pt idx="48">
                  <c:v>0.19422205694928218</c:v>
                </c:pt>
                <c:pt idx="49">
                  <c:v>-0.172007587097879</c:v>
                </c:pt>
                <c:pt idx="50">
                  <c:v>3.4837661601940073E-2</c:v>
                </c:pt>
                <c:pt idx="51">
                  <c:v>0.27868436025466692</c:v>
                </c:pt>
                <c:pt idx="52">
                  <c:v>-0.25120847134047464</c:v>
                </c:pt>
                <c:pt idx="53">
                  <c:v>0.16724524542224345</c:v>
                </c:pt>
                <c:pt idx="54">
                  <c:v>7.1277180645575422E-2</c:v>
                </c:pt>
                <c:pt idx="55">
                  <c:v>0.11703541524610372</c:v>
                </c:pt>
                <c:pt idx="56">
                  <c:v>0.16104279288402545</c:v>
                </c:pt>
                <c:pt idx="57">
                  <c:v>-2.1234550689531617E-2</c:v>
                </c:pt>
                <c:pt idx="58">
                  <c:v>-0.22790983619665972</c:v>
                </c:pt>
                <c:pt idx="59">
                  <c:v>-0.25947962256399115</c:v>
                </c:pt>
                <c:pt idx="60">
                  <c:v>0.10581147133234525</c:v>
                </c:pt>
                <c:pt idx="61">
                  <c:v>-0.34296845293851719</c:v>
                </c:pt>
                <c:pt idx="62">
                  <c:v>0.15989699659874002</c:v>
                </c:pt>
                <c:pt idx="63">
                  <c:v>-0.24827363392800428</c:v>
                </c:pt>
                <c:pt idx="64">
                  <c:v>0.29849429236830144</c:v>
                </c:pt>
                <c:pt idx="65">
                  <c:v>7.8733942799815493E-2</c:v>
                </c:pt>
                <c:pt idx="66">
                  <c:v>0.26027155279605713</c:v>
                </c:pt>
                <c:pt idx="67">
                  <c:v>0.22337442754368364</c:v>
                </c:pt>
                <c:pt idx="68">
                  <c:v>-0.20985247711336874</c:v>
                </c:pt>
                <c:pt idx="69">
                  <c:v>-0.12621985048601891</c:v>
                </c:pt>
                <c:pt idx="70">
                  <c:v>7.573720782094695E-2</c:v>
                </c:pt>
                <c:pt idx="71">
                  <c:v>8.8928779569099725E-2</c:v>
                </c:pt>
                <c:pt idx="72">
                  <c:v>3.3422867907329623E-2</c:v>
                </c:pt>
                <c:pt idx="73">
                  <c:v>-0.14002628361671787</c:v>
                </c:pt>
                <c:pt idx="74">
                  <c:v>-0.26676347365763253</c:v>
                </c:pt>
                <c:pt idx="75">
                  <c:v>-0.18232595528516571</c:v>
                </c:pt>
                <c:pt idx="76">
                  <c:v>0.30324851216465609</c:v>
                </c:pt>
                <c:pt idx="77">
                  <c:v>2.2790984940983083E-2</c:v>
                </c:pt>
                <c:pt idx="78">
                  <c:v>0.33075176989383998</c:v>
                </c:pt>
                <c:pt idx="79">
                  <c:v>0.19197890164683584</c:v>
                </c:pt>
                <c:pt idx="80">
                  <c:v>-0.20653665436433921</c:v>
                </c:pt>
                <c:pt idx="81">
                  <c:v>-0.10994164245733107</c:v>
                </c:pt>
                <c:pt idx="82">
                  <c:v>0.26692799438736714</c:v>
                </c:pt>
                <c:pt idx="83">
                  <c:v>0.22258468371325502</c:v>
                </c:pt>
                <c:pt idx="84">
                  <c:v>0.27301549509751288</c:v>
                </c:pt>
                <c:pt idx="85">
                  <c:v>-0.1173598326170322</c:v>
                </c:pt>
                <c:pt idx="86">
                  <c:v>1.3988339893743151E-2</c:v>
                </c:pt>
                <c:pt idx="87">
                  <c:v>0.39907216373555937</c:v>
                </c:pt>
                <c:pt idx="88">
                  <c:v>-0.10087557255551749</c:v>
                </c:pt>
                <c:pt idx="89">
                  <c:v>-0.24232705722014591</c:v>
                </c:pt>
                <c:pt idx="90">
                  <c:v>0.19680083647194102</c:v>
                </c:pt>
                <c:pt idx="91">
                  <c:v>1.3696012845549554E-2</c:v>
                </c:pt>
                <c:pt idx="92">
                  <c:v>5.5756673789119415E-2</c:v>
                </c:pt>
                <c:pt idx="93">
                  <c:v>-0.20379472042121027</c:v>
                </c:pt>
                <c:pt idx="94">
                  <c:v>-0.27023288839765436</c:v>
                </c:pt>
                <c:pt idx="95">
                  <c:v>-8.2538515410933044E-2</c:v>
                </c:pt>
                <c:pt idx="96">
                  <c:v>-0.33764975312612167</c:v>
                </c:pt>
                <c:pt idx="97">
                  <c:v>-0.14075865518648678</c:v>
                </c:pt>
                <c:pt idx="98">
                  <c:v>1.3508728617291021E-2</c:v>
                </c:pt>
                <c:pt idx="99">
                  <c:v>0.17421266966997762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F2-4A75-8062-10F7CAE68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324160"/>
        <c:axId val="1645319840"/>
      </c:scatterChart>
      <c:valAx>
        <c:axId val="164532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19840"/>
        <c:crosses val="autoZero"/>
        <c:crossBetween val="midCat"/>
      </c:valAx>
      <c:valAx>
        <c:axId val="16453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2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0.474612678332812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Sheet1!$A$3:$A$101</c:f>
              <c:numCache>
                <c:formatCode>General</c:formatCode>
                <c:ptCount val="99"/>
                <c:pt idx="0">
                  <c:v>0.74522111847214556</c:v>
                </c:pt>
                <c:pt idx="1">
                  <c:v>0.78367626103568155</c:v>
                </c:pt>
                <c:pt idx="2">
                  <c:v>0.51424339620781434</c:v>
                </c:pt>
                <c:pt idx="3">
                  <c:v>0.92511887266091608</c:v>
                </c:pt>
                <c:pt idx="4">
                  <c:v>6.2868561759879538E-2</c:v>
                </c:pt>
                <c:pt idx="5">
                  <c:v>0.86055351116304912</c:v>
                </c:pt>
                <c:pt idx="6">
                  <c:v>0.92491119339101657</c:v>
                </c:pt>
                <c:pt idx="7">
                  <c:v>0.93958976531529759</c:v>
                </c:pt>
                <c:pt idx="8">
                  <c:v>0.49099303891136425</c:v>
                </c:pt>
                <c:pt idx="9">
                  <c:v>0.55901797995103142</c:v>
                </c:pt>
                <c:pt idx="10">
                  <c:v>0.27797419771294107</c:v>
                </c:pt>
                <c:pt idx="11">
                  <c:v>0.49466554986470013</c:v>
                </c:pt>
                <c:pt idx="12">
                  <c:v>0.21873346974522323</c:v>
                </c:pt>
                <c:pt idx="13">
                  <c:v>0.4858707521743395</c:v>
                </c:pt>
                <c:pt idx="14">
                  <c:v>0.67262619544158198</c:v>
                </c:pt>
                <c:pt idx="15">
                  <c:v>0.89541318735568853</c:v>
                </c:pt>
                <c:pt idx="16">
                  <c:v>0.90117399798370845</c:v>
                </c:pt>
                <c:pt idx="17">
                  <c:v>0.57335015063459582</c:v>
                </c:pt>
                <c:pt idx="18">
                  <c:v>1.3195462911787748E-2</c:v>
                </c:pt>
                <c:pt idx="19">
                  <c:v>0.89948576606136443</c:v>
                </c:pt>
                <c:pt idx="20">
                  <c:v>0.10526791435160987</c:v>
                </c:pt>
                <c:pt idx="21">
                  <c:v>0.60111915205119459</c:v>
                </c:pt>
                <c:pt idx="22">
                  <c:v>0.89814676899681289</c:v>
                </c:pt>
                <c:pt idx="23">
                  <c:v>0.21785024389596419</c:v>
                </c:pt>
                <c:pt idx="24">
                  <c:v>0.80412804634704094</c:v>
                </c:pt>
                <c:pt idx="25">
                  <c:v>5.2182628990731006E-2</c:v>
                </c:pt>
                <c:pt idx="26">
                  <c:v>0.34701188639554448</c:v>
                </c:pt>
                <c:pt idx="27">
                  <c:v>0.30319294777500083</c:v>
                </c:pt>
                <c:pt idx="28">
                  <c:v>0.12077732837950161</c:v>
                </c:pt>
                <c:pt idx="29">
                  <c:v>0.68691773830175284</c:v>
                </c:pt>
                <c:pt idx="30">
                  <c:v>0.90557687916141583</c:v>
                </c:pt>
                <c:pt idx="31">
                  <c:v>0.3608840837588716</c:v>
                </c:pt>
                <c:pt idx="32">
                  <c:v>0.26058154953358714</c:v>
                </c:pt>
                <c:pt idx="33">
                  <c:v>0.62960827766149974</c:v>
                </c:pt>
                <c:pt idx="34">
                  <c:v>0.83698648622291949</c:v>
                </c:pt>
                <c:pt idx="35">
                  <c:v>0.96827460859766834</c:v>
                </c:pt>
                <c:pt idx="36">
                  <c:v>0.66549198827793632</c:v>
                </c:pt>
                <c:pt idx="37">
                  <c:v>0.97703718225851299</c:v>
                </c:pt>
                <c:pt idx="38">
                  <c:v>0.41721564724490812</c:v>
                </c:pt>
                <c:pt idx="39">
                  <c:v>1.0299258527148969E-2</c:v>
                </c:pt>
                <c:pt idx="40">
                  <c:v>7.8790750021327072E-2</c:v>
                </c:pt>
                <c:pt idx="41">
                  <c:v>0.94522302338630648</c:v>
                </c:pt>
                <c:pt idx="42">
                  <c:v>0.91056158328068904</c:v>
                </c:pt>
                <c:pt idx="43">
                  <c:v>9.4138000062018667E-2</c:v>
                </c:pt>
                <c:pt idx="44">
                  <c:v>0.72863515901828346</c:v>
                </c:pt>
                <c:pt idx="45">
                  <c:v>0.19138347066899153</c:v>
                </c:pt>
                <c:pt idx="46">
                  <c:v>0.56492570581543267</c:v>
                </c:pt>
                <c:pt idx="47">
                  <c:v>0.33617368343396137</c:v>
                </c:pt>
                <c:pt idx="48">
                  <c:v>0.76273205512628295</c:v>
                </c:pt>
                <c:pt idx="49">
                  <c:v>0.50816971447729409</c:v>
                </c:pt>
                <c:pt idx="50">
                  <c:v>5.3946604725891412E-2</c:v>
                </c:pt>
                <c:pt idx="51">
                  <c:v>0.85503758843977617</c:v>
                </c:pt>
                <c:pt idx="52">
                  <c:v>0.29340007608860508</c:v>
                </c:pt>
                <c:pt idx="53">
                  <c:v>0.35411189627530182</c:v>
                </c:pt>
                <c:pt idx="54">
                  <c:v>0.28524098853692414</c:v>
                </c:pt>
                <c:pt idx="55">
                  <c:v>0.14880532665274115</c:v>
                </c:pt>
                <c:pt idx="56">
                  <c:v>0.59314132654639506</c:v>
                </c:pt>
                <c:pt idx="57">
                  <c:v>0.82249087867443393</c:v>
                </c:pt>
                <c:pt idx="58">
                  <c:v>0.86434582925389836</c:v>
                </c:pt>
                <c:pt idx="59">
                  <c:v>0.47931622694976117</c:v>
                </c:pt>
                <c:pt idx="60">
                  <c:v>0.97329157419321743</c:v>
                </c:pt>
                <c:pt idx="61">
                  <c:v>0.18439041582405757</c:v>
                </c:pt>
                <c:pt idx="62">
                  <c:v>0.88039956333210889</c:v>
                </c:pt>
                <c:pt idx="63">
                  <c:v>0.12530690449276005</c:v>
                </c:pt>
                <c:pt idx="64">
                  <c:v>0.5545073286885116</c:v>
                </c:pt>
                <c:pt idx="65">
                  <c:v>0.14523864847476131</c:v>
                </c:pt>
                <c:pt idx="66">
                  <c:v>0.28014076642357622</c:v>
                </c:pt>
                <c:pt idx="67">
                  <c:v>0.69389488361948504</c:v>
                </c:pt>
                <c:pt idx="68">
                  <c:v>0.63038707268410776</c:v>
                </c:pt>
                <c:pt idx="69">
                  <c:v>0.42019968489970938</c:v>
                </c:pt>
                <c:pt idx="70">
                  <c:v>0.53276843023752962</c:v>
                </c:pt>
                <c:pt idx="71">
                  <c:v>0.40668176161430936</c:v>
                </c:pt>
                <c:pt idx="72">
                  <c:v>0.79934438448659162</c:v>
                </c:pt>
                <c:pt idx="73">
                  <c:v>0.86643018871094568</c:v>
                </c:pt>
                <c:pt idx="74">
                  <c:v>0.8322844551991988</c:v>
                </c:pt>
                <c:pt idx="75">
                  <c:v>7.96261296272609E-2</c:v>
                </c:pt>
                <c:pt idx="76">
                  <c:v>0.56647229726526283</c:v>
                </c:pt>
                <c:pt idx="77">
                  <c:v>2.593563781625885E-2</c:v>
                </c:pt>
                <c:pt idx="78">
                  <c:v>0.26533386820579574</c:v>
                </c:pt>
                <c:pt idx="79">
                  <c:v>0.92004747351331806</c:v>
                </c:pt>
                <c:pt idx="80">
                  <c:v>0.81613985411024115</c:v>
                </c:pt>
                <c:pt idx="81">
                  <c:v>1.8552054921190053E-2</c:v>
                </c:pt>
                <c:pt idx="82">
                  <c:v>8.0727016687708097E-2</c:v>
                </c:pt>
                <c:pt idx="83">
                  <c:v>7.2974681620635473E-2</c:v>
                </c:pt>
                <c:pt idx="84">
                  <c:v>0.90909606162409806</c:v>
                </c:pt>
                <c:pt idx="85">
                  <c:v>0.56109074718901319</c:v>
                </c:pt>
                <c:pt idx="86">
                  <c:v>2.3926886226807498E-2</c:v>
                </c:pt>
                <c:pt idx="87">
                  <c:v>0.81651577231612948</c:v>
                </c:pt>
                <c:pt idx="88">
                  <c:v>0.85634176556674302</c:v>
                </c:pt>
                <c:pt idx="89">
                  <c:v>0.26055252619903968</c:v>
                </c:pt>
                <c:pt idx="90">
                  <c:v>0.47633629017683343</c:v>
                </c:pt>
                <c:pt idx="91">
                  <c:v>0.36871659815114866</c:v>
                </c:pt>
                <c:pt idx="92">
                  <c:v>0.79999835530122965</c:v>
                </c:pt>
                <c:pt idx="93">
                  <c:v>0.95699065867861133</c:v>
                </c:pt>
                <c:pt idx="94">
                  <c:v>0.60657373835740036</c:v>
                </c:pt>
                <c:pt idx="95">
                  <c:v>0.87287495648026114</c:v>
                </c:pt>
                <c:pt idx="96">
                  <c:v>0.71668752597343455</c:v>
                </c:pt>
                <c:pt idx="97">
                  <c:v>0.46722425337628815</c:v>
                </c:pt>
                <c:pt idx="98">
                  <c:v>0.41164223720157911</c:v>
                </c:pt>
              </c:numCache>
            </c:numRef>
          </c:xVal>
          <c:yVal>
            <c:numRef>
              <c:f>Sheet1!$B$3:$B$101</c:f>
              <c:numCache>
                <c:formatCode>General</c:formatCode>
                <c:ptCount val="99"/>
                <c:pt idx="0">
                  <c:v>0.68255838105838473</c:v>
                </c:pt>
                <c:pt idx="1">
                  <c:v>0.81159721683488995</c:v>
                </c:pt>
                <c:pt idx="2">
                  <c:v>0.44928826598805105</c:v>
                </c:pt>
                <c:pt idx="3">
                  <c:v>0.86794130428388083</c:v>
                </c:pt>
                <c:pt idx="4">
                  <c:v>0.29741795189970854</c:v>
                </c:pt>
                <c:pt idx="5">
                  <c:v>0.76402754131303452</c:v>
                </c:pt>
                <c:pt idx="6">
                  <c:v>0.74947773739281165</c:v>
                </c:pt>
                <c:pt idx="7">
                  <c:v>0.7151493458843915</c:v>
                </c:pt>
                <c:pt idx="8">
                  <c:v>0.55277454957131644</c:v>
                </c:pt>
                <c:pt idx="9">
                  <c:v>0.51264586426313941</c:v>
                </c:pt>
                <c:pt idx="10">
                  <c:v>0.44443129482786581</c:v>
                </c:pt>
                <c:pt idx="11">
                  <c:v>0.53955192950192554</c:v>
                </c:pt>
                <c:pt idx="12">
                  <c:v>0.38664960613827359</c:v>
                </c:pt>
                <c:pt idx="13">
                  <c:v>0.4110178911656247</c:v>
                </c:pt>
                <c:pt idx="14">
                  <c:v>0.67884863511012072</c:v>
                </c:pt>
                <c:pt idx="15">
                  <c:v>0.66622186483878487</c:v>
                </c:pt>
                <c:pt idx="16">
                  <c:v>0.65212629441323466</c:v>
                </c:pt>
                <c:pt idx="17">
                  <c:v>0.46508836143507509</c:v>
                </c:pt>
                <c:pt idx="18">
                  <c:v>0.32092922264735685</c:v>
                </c:pt>
                <c:pt idx="19">
                  <c:v>0.82071530506317469</c:v>
                </c:pt>
                <c:pt idx="20">
                  <c:v>0.23724499811961441</c:v>
                </c:pt>
                <c:pt idx="21">
                  <c:v>0.57958504433401936</c:v>
                </c:pt>
                <c:pt idx="22">
                  <c:v>0.74850171721692704</c:v>
                </c:pt>
                <c:pt idx="23">
                  <c:v>0.3982286802703412</c:v>
                </c:pt>
                <c:pt idx="24">
                  <c:v>0.64716941986068943</c:v>
                </c:pt>
                <c:pt idx="25">
                  <c:v>0.31236087166255921</c:v>
                </c:pt>
                <c:pt idx="26">
                  <c:v>0.44397234580704692</c:v>
                </c:pt>
                <c:pt idx="27">
                  <c:v>0.40420326051101885</c:v>
                </c:pt>
                <c:pt idx="28">
                  <c:v>0.34675238240852235</c:v>
                </c:pt>
                <c:pt idx="29">
                  <c:v>0.53618150477829141</c:v>
                </c:pt>
                <c:pt idx="30">
                  <c:v>0.64908190852237502</c:v>
                </c:pt>
                <c:pt idx="31">
                  <c:v>0.37524509358982872</c:v>
                </c:pt>
                <c:pt idx="32">
                  <c:v>0.43375769225290267</c:v>
                </c:pt>
                <c:pt idx="33">
                  <c:v>0.49173214662897324</c:v>
                </c:pt>
                <c:pt idx="34">
                  <c:v>0.84620067172306823</c:v>
                </c:pt>
                <c:pt idx="35">
                  <c:v>0.73627973022094784</c:v>
                </c:pt>
                <c:pt idx="36">
                  <c:v>0.72127953292732239</c:v>
                </c:pt>
                <c:pt idx="37">
                  <c:v>0.88956105778770467</c:v>
                </c:pt>
                <c:pt idx="38">
                  <c:v>0.43070938875103626</c:v>
                </c:pt>
                <c:pt idx="39">
                  <c:v>0.11219625656864281</c:v>
                </c:pt>
                <c:pt idx="40">
                  <c:v>0.1862403115338091</c:v>
                </c:pt>
                <c:pt idx="41">
                  <c:v>0.91147759087987901</c:v>
                </c:pt>
                <c:pt idx="42">
                  <c:v>0.6891019966363584</c:v>
                </c:pt>
                <c:pt idx="43">
                  <c:v>0.2997489928842863</c:v>
                </c:pt>
                <c:pt idx="44">
                  <c:v>0.59429426000280672</c:v>
                </c:pt>
                <c:pt idx="45">
                  <c:v>0.3083837318453353</c:v>
                </c:pt>
                <c:pt idx="46">
                  <c:v>0.49220889984896032</c:v>
                </c:pt>
                <c:pt idx="47">
                  <c:v>0.33652183987236295</c:v>
                </c:pt>
                <c:pt idx="48">
                  <c:v>0.70275148391952413</c:v>
                </c:pt>
                <c:pt idx="49">
                  <c:v>0.49590623521970506</c:v>
                </c:pt>
                <c:pt idx="50">
                  <c:v>0.25205953656697822</c:v>
                </c:pt>
                <c:pt idx="51">
                  <c:v>0.78195236816211977</c:v>
                </c:pt>
                <c:pt idx="52">
                  <c:v>0.36349865139940168</c:v>
                </c:pt>
                <c:pt idx="53">
                  <c:v>0.45946671617606971</c:v>
                </c:pt>
                <c:pt idx="54">
                  <c:v>0.41370848157554141</c:v>
                </c:pt>
                <c:pt idx="55">
                  <c:v>0.36970110393761968</c:v>
                </c:pt>
                <c:pt idx="56">
                  <c:v>0.55197844751117675</c:v>
                </c:pt>
                <c:pt idx="57">
                  <c:v>0.75865373301830485</c:v>
                </c:pt>
                <c:pt idx="58">
                  <c:v>0.79022351938563629</c:v>
                </c:pt>
                <c:pt idx="59">
                  <c:v>0.42493242548929988</c:v>
                </c:pt>
                <c:pt idx="60">
                  <c:v>0.87371234976016232</c:v>
                </c:pt>
                <c:pt idx="61">
                  <c:v>0.37084690022290512</c:v>
                </c:pt>
                <c:pt idx="62">
                  <c:v>0.77901753074964941</c:v>
                </c:pt>
                <c:pt idx="63">
                  <c:v>0.23224960445334369</c:v>
                </c:pt>
                <c:pt idx="64">
                  <c:v>0.45200995402182964</c:v>
                </c:pt>
                <c:pt idx="65">
                  <c:v>0.27047234402558801</c:v>
                </c:pt>
                <c:pt idx="66">
                  <c:v>0.30736946927796149</c:v>
                </c:pt>
                <c:pt idx="67">
                  <c:v>0.74059637393501387</c:v>
                </c:pt>
                <c:pt idx="68">
                  <c:v>0.65696374730766405</c:v>
                </c:pt>
                <c:pt idx="69">
                  <c:v>0.45500668900069818</c:v>
                </c:pt>
                <c:pt idx="70">
                  <c:v>0.44181511725254541</c:v>
                </c:pt>
                <c:pt idx="71">
                  <c:v>0.49732102891431551</c:v>
                </c:pt>
                <c:pt idx="72">
                  <c:v>0.67077018043836301</c:v>
                </c:pt>
                <c:pt idx="73">
                  <c:v>0.79750737047927767</c:v>
                </c:pt>
                <c:pt idx="74">
                  <c:v>0.71306985210681084</c:v>
                </c:pt>
                <c:pt idx="75">
                  <c:v>0.22749538465698904</c:v>
                </c:pt>
                <c:pt idx="76">
                  <c:v>0.50795291188066205</c:v>
                </c:pt>
                <c:pt idx="77">
                  <c:v>0.19999212692780516</c:v>
                </c:pt>
                <c:pt idx="78">
                  <c:v>0.33876499517480929</c:v>
                </c:pt>
                <c:pt idx="79">
                  <c:v>0.73728055118598435</c:v>
                </c:pt>
                <c:pt idx="80">
                  <c:v>0.6406855392789762</c:v>
                </c:pt>
                <c:pt idx="81">
                  <c:v>0.26381590243427799</c:v>
                </c:pt>
                <c:pt idx="82">
                  <c:v>0.30815921310839012</c:v>
                </c:pt>
                <c:pt idx="83">
                  <c:v>0.25772840172413225</c:v>
                </c:pt>
                <c:pt idx="84">
                  <c:v>0.64810372943867733</c:v>
                </c:pt>
                <c:pt idx="85">
                  <c:v>0.51675555692790198</c:v>
                </c:pt>
                <c:pt idx="86">
                  <c:v>0.13167173308608576</c:v>
                </c:pt>
                <c:pt idx="87">
                  <c:v>0.63161946937716262</c:v>
                </c:pt>
                <c:pt idx="88">
                  <c:v>0.77307095404179105</c:v>
                </c:pt>
                <c:pt idx="89">
                  <c:v>0.33394306034970411</c:v>
                </c:pt>
                <c:pt idx="90">
                  <c:v>0.51704788397609558</c:v>
                </c:pt>
                <c:pt idx="91">
                  <c:v>0.47498722303252572</c:v>
                </c:pt>
                <c:pt idx="92">
                  <c:v>0.73453861724285541</c:v>
                </c:pt>
                <c:pt idx="93">
                  <c:v>0.80097678521929949</c:v>
                </c:pt>
                <c:pt idx="94">
                  <c:v>0.61328241223257818</c:v>
                </c:pt>
                <c:pt idx="95">
                  <c:v>0.8683936499477668</c:v>
                </c:pt>
                <c:pt idx="96">
                  <c:v>0.67150255200813191</c:v>
                </c:pt>
                <c:pt idx="97">
                  <c:v>0.51723516820435411</c:v>
                </c:pt>
                <c:pt idx="98">
                  <c:v>0.35653122715166752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75-4923-9BA3-7892AB1FA240}"/>
            </c:ext>
          </c:extLst>
        </c:ser>
        <c:ser>
          <c:idx val="1"/>
          <c:order val="1"/>
          <c:tx>
            <c:v>Predicted 0.432613528171689</c:v>
          </c:tx>
          <c:spPr>
            <a:ln w="19050">
              <a:noFill/>
            </a:ln>
          </c:spPr>
          <c:xVal>
            <c:numRef>
              <c:f>Sheet1!$A$3:$A$101</c:f>
              <c:numCache>
                <c:formatCode>General</c:formatCode>
                <c:ptCount val="99"/>
                <c:pt idx="0">
                  <c:v>0.74522111847214556</c:v>
                </c:pt>
                <c:pt idx="1">
                  <c:v>0.78367626103568155</c:v>
                </c:pt>
                <c:pt idx="2">
                  <c:v>0.51424339620781434</c:v>
                </c:pt>
                <c:pt idx="3">
                  <c:v>0.92511887266091608</c:v>
                </c:pt>
                <c:pt idx="4">
                  <c:v>6.2868561759879538E-2</c:v>
                </c:pt>
                <c:pt idx="5">
                  <c:v>0.86055351116304912</c:v>
                </c:pt>
                <c:pt idx="6">
                  <c:v>0.92491119339101657</c:v>
                </c:pt>
                <c:pt idx="7">
                  <c:v>0.93958976531529759</c:v>
                </c:pt>
                <c:pt idx="8">
                  <c:v>0.49099303891136425</c:v>
                </c:pt>
                <c:pt idx="9">
                  <c:v>0.55901797995103142</c:v>
                </c:pt>
                <c:pt idx="10">
                  <c:v>0.27797419771294107</c:v>
                </c:pt>
                <c:pt idx="11">
                  <c:v>0.49466554986470013</c:v>
                </c:pt>
                <c:pt idx="12">
                  <c:v>0.21873346974522323</c:v>
                </c:pt>
                <c:pt idx="13">
                  <c:v>0.4858707521743395</c:v>
                </c:pt>
                <c:pt idx="14">
                  <c:v>0.67262619544158198</c:v>
                </c:pt>
                <c:pt idx="15">
                  <c:v>0.89541318735568853</c:v>
                </c:pt>
                <c:pt idx="16">
                  <c:v>0.90117399798370845</c:v>
                </c:pt>
                <c:pt idx="17">
                  <c:v>0.57335015063459582</c:v>
                </c:pt>
                <c:pt idx="18">
                  <c:v>1.3195462911787748E-2</c:v>
                </c:pt>
                <c:pt idx="19">
                  <c:v>0.89948576606136443</c:v>
                </c:pt>
                <c:pt idx="20">
                  <c:v>0.10526791435160987</c:v>
                </c:pt>
                <c:pt idx="21">
                  <c:v>0.60111915205119459</c:v>
                </c:pt>
                <c:pt idx="22">
                  <c:v>0.89814676899681289</c:v>
                </c:pt>
                <c:pt idx="23">
                  <c:v>0.21785024389596419</c:v>
                </c:pt>
                <c:pt idx="24">
                  <c:v>0.80412804634704094</c:v>
                </c:pt>
                <c:pt idx="25">
                  <c:v>5.2182628990731006E-2</c:v>
                </c:pt>
                <c:pt idx="26">
                  <c:v>0.34701188639554448</c:v>
                </c:pt>
                <c:pt idx="27">
                  <c:v>0.30319294777500083</c:v>
                </c:pt>
                <c:pt idx="28">
                  <c:v>0.12077732837950161</c:v>
                </c:pt>
                <c:pt idx="29">
                  <c:v>0.68691773830175284</c:v>
                </c:pt>
                <c:pt idx="30">
                  <c:v>0.90557687916141583</c:v>
                </c:pt>
                <c:pt idx="31">
                  <c:v>0.3608840837588716</c:v>
                </c:pt>
                <c:pt idx="32">
                  <c:v>0.26058154953358714</c:v>
                </c:pt>
                <c:pt idx="33">
                  <c:v>0.62960827766149974</c:v>
                </c:pt>
                <c:pt idx="34">
                  <c:v>0.83698648622291949</c:v>
                </c:pt>
                <c:pt idx="35">
                  <c:v>0.96827460859766834</c:v>
                </c:pt>
                <c:pt idx="36">
                  <c:v>0.66549198827793632</c:v>
                </c:pt>
                <c:pt idx="37">
                  <c:v>0.97703718225851299</c:v>
                </c:pt>
                <c:pt idx="38">
                  <c:v>0.41721564724490812</c:v>
                </c:pt>
                <c:pt idx="39">
                  <c:v>1.0299258527148969E-2</c:v>
                </c:pt>
                <c:pt idx="40">
                  <c:v>7.8790750021327072E-2</c:v>
                </c:pt>
                <c:pt idx="41">
                  <c:v>0.94522302338630648</c:v>
                </c:pt>
                <c:pt idx="42">
                  <c:v>0.91056158328068904</c:v>
                </c:pt>
                <c:pt idx="43">
                  <c:v>9.4138000062018667E-2</c:v>
                </c:pt>
                <c:pt idx="44">
                  <c:v>0.72863515901828346</c:v>
                </c:pt>
                <c:pt idx="45">
                  <c:v>0.19138347066899153</c:v>
                </c:pt>
                <c:pt idx="46">
                  <c:v>0.56492570581543267</c:v>
                </c:pt>
                <c:pt idx="47">
                  <c:v>0.33617368343396137</c:v>
                </c:pt>
                <c:pt idx="48">
                  <c:v>0.76273205512628295</c:v>
                </c:pt>
                <c:pt idx="49">
                  <c:v>0.50816971447729409</c:v>
                </c:pt>
                <c:pt idx="50">
                  <c:v>5.3946604725891412E-2</c:v>
                </c:pt>
                <c:pt idx="51">
                  <c:v>0.85503758843977617</c:v>
                </c:pt>
                <c:pt idx="52">
                  <c:v>0.29340007608860508</c:v>
                </c:pt>
                <c:pt idx="53">
                  <c:v>0.35411189627530182</c:v>
                </c:pt>
                <c:pt idx="54">
                  <c:v>0.28524098853692414</c:v>
                </c:pt>
                <c:pt idx="55">
                  <c:v>0.14880532665274115</c:v>
                </c:pt>
                <c:pt idx="56">
                  <c:v>0.59314132654639506</c:v>
                </c:pt>
                <c:pt idx="57">
                  <c:v>0.82249087867443393</c:v>
                </c:pt>
                <c:pt idx="58">
                  <c:v>0.86434582925389836</c:v>
                </c:pt>
                <c:pt idx="59">
                  <c:v>0.47931622694976117</c:v>
                </c:pt>
                <c:pt idx="60">
                  <c:v>0.97329157419321743</c:v>
                </c:pt>
                <c:pt idx="61">
                  <c:v>0.18439041582405757</c:v>
                </c:pt>
                <c:pt idx="62">
                  <c:v>0.88039956333210889</c:v>
                </c:pt>
                <c:pt idx="63">
                  <c:v>0.12530690449276005</c:v>
                </c:pt>
                <c:pt idx="64">
                  <c:v>0.5545073286885116</c:v>
                </c:pt>
                <c:pt idx="65">
                  <c:v>0.14523864847476131</c:v>
                </c:pt>
                <c:pt idx="66">
                  <c:v>0.28014076642357622</c:v>
                </c:pt>
                <c:pt idx="67">
                  <c:v>0.69389488361948504</c:v>
                </c:pt>
                <c:pt idx="68">
                  <c:v>0.63038707268410776</c:v>
                </c:pt>
                <c:pt idx="69">
                  <c:v>0.42019968489970938</c:v>
                </c:pt>
                <c:pt idx="70">
                  <c:v>0.53276843023752962</c:v>
                </c:pt>
                <c:pt idx="71">
                  <c:v>0.40668176161430936</c:v>
                </c:pt>
                <c:pt idx="72">
                  <c:v>0.79934438448659162</c:v>
                </c:pt>
                <c:pt idx="73">
                  <c:v>0.86643018871094568</c:v>
                </c:pt>
                <c:pt idx="74">
                  <c:v>0.8322844551991988</c:v>
                </c:pt>
                <c:pt idx="75">
                  <c:v>7.96261296272609E-2</c:v>
                </c:pt>
                <c:pt idx="76">
                  <c:v>0.56647229726526283</c:v>
                </c:pt>
                <c:pt idx="77">
                  <c:v>2.593563781625885E-2</c:v>
                </c:pt>
                <c:pt idx="78">
                  <c:v>0.26533386820579574</c:v>
                </c:pt>
                <c:pt idx="79">
                  <c:v>0.92004747351331806</c:v>
                </c:pt>
                <c:pt idx="80">
                  <c:v>0.81613985411024115</c:v>
                </c:pt>
                <c:pt idx="81">
                  <c:v>1.8552054921190053E-2</c:v>
                </c:pt>
                <c:pt idx="82">
                  <c:v>8.0727016687708097E-2</c:v>
                </c:pt>
                <c:pt idx="83">
                  <c:v>7.2974681620635473E-2</c:v>
                </c:pt>
                <c:pt idx="84">
                  <c:v>0.90909606162409806</c:v>
                </c:pt>
                <c:pt idx="85">
                  <c:v>0.56109074718901319</c:v>
                </c:pt>
                <c:pt idx="86">
                  <c:v>2.3926886226807498E-2</c:v>
                </c:pt>
                <c:pt idx="87">
                  <c:v>0.81651577231612948</c:v>
                </c:pt>
                <c:pt idx="88">
                  <c:v>0.85634176556674302</c:v>
                </c:pt>
                <c:pt idx="89">
                  <c:v>0.26055252619903968</c:v>
                </c:pt>
                <c:pt idx="90">
                  <c:v>0.47633629017683343</c:v>
                </c:pt>
                <c:pt idx="91">
                  <c:v>0.36871659815114866</c:v>
                </c:pt>
                <c:pt idx="92">
                  <c:v>0.79999835530122965</c:v>
                </c:pt>
                <c:pt idx="93">
                  <c:v>0.95699065867861133</c:v>
                </c:pt>
                <c:pt idx="94">
                  <c:v>0.60657373835740036</c:v>
                </c:pt>
                <c:pt idx="95">
                  <c:v>0.87287495648026114</c:v>
                </c:pt>
                <c:pt idx="96">
                  <c:v>0.71668752597343455</c:v>
                </c:pt>
                <c:pt idx="97">
                  <c:v>0.46722425337628815</c:v>
                </c:pt>
                <c:pt idx="98">
                  <c:v>0.41164223720157911</c:v>
                </c:pt>
              </c:numCache>
            </c:numRef>
          </c:xVal>
          <c:yVal>
            <c:numRef>
              <c:f>Sheet1!$V$29:$V$127</c:f>
              <c:numCache>
                <c:formatCode>General</c:formatCode>
                <c:ptCount val="99"/>
                <c:pt idx="0">
                  <c:v>0.6637277183788115</c:v>
                </c:pt>
                <c:pt idx="1">
                  <c:v>0.68740453748173169</c:v>
                </c:pt>
                <c:pt idx="2">
                  <c:v>0.52151480789950466</c:v>
                </c:pt>
                <c:pt idx="3">
                  <c:v>0.77449070868398828</c:v>
                </c:pt>
                <c:pt idx="4">
                  <c:v>0.24360346521817267</c:v>
                </c:pt>
                <c:pt idx="5">
                  <c:v>0.73473783604871179</c:v>
                </c:pt>
                <c:pt idx="6">
                  <c:v>0.77436284062325456</c:v>
                </c:pt>
                <c:pt idx="7">
                  <c:v>0.78340043271035187</c:v>
                </c:pt>
                <c:pt idx="8">
                  <c:v>0.50719957027226714</c:v>
                </c:pt>
                <c:pt idx="9">
                  <c:v>0.54908250493625765</c:v>
                </c:pt>
                <c:pt idx="10">
                  <c:v>0.37604393718013507</c:v>
                </c:pt>
                <c:pt idx="11">
                  <c:v>0.50946073410365755</c:v>
                </c:pt>
                <c:pt idx="12">
                  <c:v>0.33956943972379305</c:v>
                </c:pt>
                <c:pt idx="13">
                  <c:v>0.50404577994980393</c:v>
                </c:pt>
                <c:pt idx="14">
                  <c:v>0.61903104724971025</c:v>
                </c:pt>
                <c:pt idx="15">
                  <c:v>0.75620092764526015</c:v>
                </c:pt>
                <c:pt idx="16">
                  <c:v>0.75974785692527647</c:v>
                </c:pt>
                <c:pt idx="17">
                  <c:v>0.55790681788910312</c:v>
                </c:pt>
                <c:pt idx="18">
                  <c:v>0.2130197539820336</c:v>
                </c:pt>
                <c:pt idx="19">
                  <c:v>0.75870841306511982</c:v>
                </c:pt>
                <c:pt idx="20">
                  <c:v>0.26970873318686395</c:v>
                </c:pt>
                <c:pt idx="21">
                  <c:v>0.5750041832706837</c:v>
                </c:pt>
                <c:pt idx="22">
                  <c:v>0.75788399299635145</c:v>
                </c:pt>
                <c:pt idx="23">
                  <c:v>0.33902563784800027</c:v>
                </c:pt>
                <c:pt idx="24">
                  <c:v>0.69999669522367114</c:v>
                </c:pt>
                <c:pt idx="25">
                  <c:v>0.2370241397949715</c:v>
                </c:pt>
                <c:pt idx="26">
                  <c:v>0.41855042024728362</c:v>
                </c:pt>
                <c:pt idx="27">
                  <c:v>0.39157111361003943</c:v>
                </c:pt>
                <c:pt idx="28">
                  <c:v>0.27925787449414091</c:v>
                </c:pt>
                <c:pt idx="29">
                  <c:v>0.62783034566455354</c:v>
                </c:pt>
                <c:pt idx="30">
                  <c:v>0.76245870947260475</c:v>
                </c:pt>
                <c:pt idx="31">
                  <c:v>0.42709152777246923</c:v>
                </c:pt>
                <c:pt idx="32">
                  <c:v>0.36533528920196379</c:v>
                </c:pt>
                <c:pt idx="33">
                  <c:v>0.59254492889036503</c:v>
                </c:pt>
                <c:pt idx="34">
                  <c:v>0.72022762625350589</c:v>
                </c:pt>
                <c:pt idx="35">
                  <c:v>0.80106168163876723</c:v>
                </c:pt>
                <c:pt idx="36">
                  <c:v>0.61463851815747472</c:v>
                </c:pt>
                <c:pt idx="37">
                  <c:v>0.80645679546784854</c:v>
                </c:pt>
                <c:pt idx="38">
                  <c:v>0.46177485357837189</c:v>
                </c:pt>
                <c:pt idx="39">
                  <c:v>0.21123656185924067</c:v>
                </c:pt>
                <c:pt idx="40">
                  <c:v>0.25340675149038117</c:v>
                </c:pt>
                <c:pt idx="41">
                  <c:v>0.78686882792139468</c:v>
                </c:pt>
                <c:pt idx="42">
                  <c:v>0.7655277902208717</c:v>
                </c:pt>
                <c:pt idx="43">
                  <c:v>0.262856048482074</c:v>
                </c:pt>
                <c:pt idx="44">
                  <c:v>0.6535157483935583</c:v>
                </c:pt>
                <c:pt idx="45">
                  <c:v>0.32273005395053611</c:v>
                </c:pt>
                <c:pt idx="46">
                  <c:v>0.55271988988080611</c:v>
                </c:pt>
                <c:pt idx="47">
                  <c:v>0.41187734211480348</c:v>
                </c:pt>
                <c:pt idx="48">
                  <c:v>0.67450919653346131</c:v>
                </c:pt>
                <c:pt idx="49">
                  <c:v>0.51777524398072206</c:v>
                </c:pt>
                <c:pt idx="50">
                  <c:v>0.23811021909670155</c:v>
                </c:pt>
                <c:pt idx="51">
                  <c:v>0.73134168417412582</c:v>
                </c:pt>
                <c:pt idx="52">
                  <c:v>0.3855416456127797</c:v>
                </c:pt>
                <c:pt idx="53">
                  <c:v>0.42292189408265468</c:v>
                </c:pt>
                <c:pt idx="54">
                  <c:v>0.3805180979900693</c:v>
                </c:pt>
                <c:pt idx="55">
                  <c:v>0.29651470415836656</c:v>
                </c:pt>
                <c:pt idx="56">
                  <c:v>0.57009223863285752</c:v>
                </c:pt>
                <c:pt idx="57">
                  <c:v>0.71130268527466645</c:v>
                </c:pt>
                <c:pt idx="58">
                  <c:v>0.7370727650967428</c:v>
                </c:pt>
                <c:pt idx="59">
                  <c:v>0.50001016084394678</c:v>
                </c:pt>
                <c:pt idx="60">
                  <c:v>0.80415062576776442</c:v>
                </c:pt>
                <c:pt idx="61">
                  <c:v>0.31842443229624795</c:v>
                </c:pt>
                <c:pt idx="62">
                  <c:v>0.74695704408668973</c:v>
                </c:pt>
                <c:pt idx="63">
                  <c:v>0.28204673307318101</c:v>
                </c:pt>
                <c:pt idx="64">
                  <c:v>0.5463052983818264</c:v>
                </c:pt>
                <c:pt idx="65">
                  <c:v>0.29431870153326023</c:v>
                </c:pt>
                <c:pt idx="66">
                  <c:v>0.37737789284941914</c:v>
                </c:pt>
                <c:pt idx="67">
                  <c:v>0.63212617182798003</c:v>
                </c:pt>
                <c:pt idx="68">
                  <c:v>0.59302443273924776</c:v>
                </c:pt>
                <c:pt idx="69">
                  <c:v>0.46361212461779916</c:v>
                </c:pt>
                <c:pt idx="70">
                  <c:v>0.53292066548727268</c:v>
                </c:pt>
                <c:pt idx="71">
                  <c:v>0.45528914353024341</c:v>
                </c:pt>
                <c:pt idx="72">
                  <c:v>0.69705139613051958</c:v>
                </c:pt>
                <c:pt idx="73">
                  <c:v>0.7383561045546172</c:v>
                </c:pt>
                <c:pt idx="74">
                  <c:v>0.71733258724068683</c:v>
                </c:pt>
                <c:pt idx="75">
                  <c:v>0.25392109444930494</c:v>
                </c:pt>
                <c:pt idx="76">
                  <c:v>0.55367212574687397</c:v>
                </c:pt>
                <c:pt idx="77">
                  <c:v>0.22086387563765722</c:v>
                </c:pt>
                <c:pt idx="78">
                  <c:v>0.36826129030403765</c:v>
                </c:pt>
                <c:pt idx="79">
                  <c:v>0.77136824983422603</c:v>
                </c:pt>
                <c:pt idx="80">
                  <c:v>0.70739236146098783</c:v>
                </c:pt>
                <c:pt idx="81">
                  <c:v>0.21631780598652744</c:v>
                </c:pt>
                <c:pt idx="82">
                  <c:v>0.2545989102639229</c:v>
                </c:pt>
                <c:pt idx="83">
                  <c:v>0.24982580001722343</c:v>
                </c:pt>
                <c:pt idx="84">
                  <c:v>0.76462546900083761</c:v>
                </c:pt>
                <c:pt idx="85">
                  <c:v>0.55035870706852297</c:v>
                </c:pt>
                <c:pt idx="86">
                  <c:v>0.21962708791992708</c:v>
                </c:pt>
                <c:pt idx="87">
                  <c:v>0.70762381418135178</c:v>
                </c:pt>
                <c:pt idx="88">
                  <c:v>0.73214466561834612</c:v>
                </c:pt>
                <c:pt idx="89">
                  <c:v>0.3653174195440706</c:v>
                </c:pt>
                <c:pt idx="90">
                  <c:v>0.49817541471619087</c:v>
                </c:pt>
                <c:pt idx="91">
                  <c:v>0.43191400440431538</c:v>
                </c:pt>
                <c:pt idx="92">
                  <c:v>0.69745404575406977</c:v>
                </c:pt>
                <c:pt idx="93">
                  <c:v>0.79411415724567691</c:v>
                </c:pt>
                <c:pt idx="94">
                  <c:v>0.57836257033269811</c:v>
                </c:pt>
                <c:pt idx="95">
                  <c:v>0.74232414603001406</c:v>
                </c:pt>
                <c:pt idx="96">
                  <c:v>0.64615959451001515</c:v>
                </c:pt>
                <c:pt idx="97">
                  <c:v>0.49256513654262257</c:v>
                </c:pt>
                <c:pt idx="98">
                  <c:v>0.45834330677902579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75-4923-9BA3-7892AB1FA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3317231"/>
        <c:axId val="1463319151"/>
      </c:scatterChart>
      <c:valAx>
        <c:axId val="1463317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0.474612678332812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3319151"/>
        <c:crosses val="autoZero"/>
        <c:crossBetween val="midCat"/>
      </c:valAx>
      <c:valAx>
        <c:axId val="14633191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0.432613528171689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33172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layout>
        <c:manualLayout>
          <c:xMode val="edge"/>
          <c:yMode val="edge"/>
          <c:x val="0.1859119030226172"/>
          <c:y val="4.0740732819921681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Sheet1!$Y$29:$Y$127</c:f>
              <c:numCache>
                <c:formatCode>General</c:formatCode>
                <c:ptCount val="99"/>
                <c:pt idx="0">
                  <c:v>0.50505050505050508</c:v>
                </c:pt>
                <c:pt idx="1">
                  <c:v>1.5151515151515151</c:v>
                </c:pt>
                <c:pt idx="2">
                  <c:v>2.5252525252525255</c:v>
                </c:pt>
                <c:pt idx="3">
                  <c:v>3.5353535353535355</c:v>
                </c:pt>
                <c:pt idx="4">
                  <c:v>4.5454545454545459</c:v>
                </c:pt>
                <c:pt idx="5">
                  <c:v>5.5555555555555562</c:v>
                </c:pt>
                <c:pt idx="6">
                  <c:v>6.5656565656565657</c:v>
                </c:pt>
                <c:pt idx="7">
                  <c:v>7.5757575757575761</c:v>
                </c:pt>
                <c:pt idx="8">
                  <c:v>8.5858585858585865</c:v>
                </c:pt>
                <c:pt idx="9">
                  <c:v>9.5959595959595969</c:v>
                </c:pt>
                <c:pt idx="10">
                  <c:v>10.606060606060607</c:v>
                </c:pt>
                <c:pt idx="11">
                  <c:v>11.616161616161618</c:v>
                </c:pt>
                <c:pt idx="12">
                  <c:v>12.626262626262626</c:v>
                </c:pt>
                <c:pt idx="13">
                  <c:v>13.636363636363637</c:v>
                </c:pt>
                <c:pt idx="14">
                  <c:v>14.646464646464647</c:v>
                </c:pt>
                <c:pt idx="15">
                  <c:v>15.656565656565657</c:v>
                </c:pt>
                <c:pt idx="16">
                  <c:v>16.666666666666668</c:v>
                </c:pt>
                <c:pt idx="17">
                  <c:v>17.676767676767678</c:v>
                </c:pt>
                <c:pt idx="18">
                  <c:v>18.686868686868689</c:v>
                </c:pt>
                <c:pt idx="19">
                  <c:v>19.696969696969699</c:v>
                </c:pt>
                <c:pt idx="20">
                  <c:v>20.707070707070709</c:v>
                </c:pt>
                <c:pt idx="21">
                  <c:v>21.71717171717172</c:v>
                </c:pt>
                <c:pt idx="22">
                  <c:v>22.72727272727273</c:v>
                </c:pt>
                <c:pt idx="23">
                  <c:v>23.737373737373741</c:v>
                </c:pt>
                <c:pt idx="24">
                  <c:v>24.747474747474747</c:v>
                </c:pt>
                <c:pt idx="25">
                  <c:v>25.757575757575758</c:v>
                </c:pt>
                <c:pt idx="26">
                  <c:v>26.767676767676768</c:v>
                </c:pt>
                <c:pt idx="27">
                  <c:v>27.777777777777779</c:v>
                </c:pt>
                <c:pt idx="28">
                  <c:v>28.787878787878789</c:v>
                </c:pt>
                <c:pt idx="29">
                  <c:v>29.797979797979799</c:v>
                </c:pt>
                <c:pt idx="30">
                  <c:v>30.80808080808081</c:v>
                </c:pt>
                <c:pt idx="31">
                  <c:v>31.81818181818182</c:v>
                </c:pt>
                <c:pt idx="32">
                  <c:v>32.828282828282831</c:v>
                </c:pt>
                <c:pt idx="33">
                  <c:v>33.838383838383841</c:v>
                </c:pt>
                <c:pt idx="34">
                  <c:v>34.848484848484851</c:v>
                </c:pt>
                <c:pt idx="35">
                  <c:v>35.858585858585862</c:v>
                </c:pt>
                <c:pt idx="36">
                  <c:v>36.868686868686872</c:v>
                </c:pt>
                <c:pt idx="37">
                  <c:v>37.878787878787882</c:v>
                </c:pt>
                <c:pt idx="38">
                  <c:v>38.888888888888893</c:v>
                </c:pt>
                <c:pt idx="39">
                  <c:v>39.898989898989903</c:v>
                </c:pt>
                <c:pt idx="40">
                  <c:v>40.909090909090914</c:v>
                </c:pt>
                <c:pt idx="41">
                  <c:v>41.919191919191924</c:v>
                </c:pt>
                <c:pt idx="42">
                  <c:v>42.929292929292934</c:v>
                </c:pt>
                <c:pt idx="43">
                  <c:v>43.939393939393945</c:v>
                </c:pt>
                <c:pt idx="44">
                  <c:v>44.949494949494955</c:v>
                </c:pt>
                <c:pt idx="45">
                  <c:v>45.959595959595966</c:v>
                </c:pt>
                <c:pt idx="46">
                  <c:v>46.969696969696976</c:v>
                </c:pt>
                <c:pt idx="47">
                  <c:v>47.979797979797986</c:v>
                </c:pt>
                <c:pt idx="48">
                  <c:v>48.98989898989899</c:v>
                </c:pt>
                <c:pt idx="49">
                  <c:v>50</c:v>
                </c:pt>
                <c:pt idx="50">
                  <c:v>51.01010101010101</c:v>
                </c:pt>
                <c:pt idx="51">
                  <c:v>52.020202020202021</c:v>
                </c:pt>
                <c:pt idx="52">
                  <c:v>53.030303030303031</c:v>
                </c:pt>
                <c:pt idx="53">
                  <c:v>54.040404040404042</c:v>
                </c:pt>
                <c:pt idx="54">
                  <c:v>55.050505050505052</c:v>
                </c:pt>
                <c:pt idx="55">
                  <c:v>56.060606060606062</c:v>
                </c:pt>
                <c:pt idx="56">
                  <c:v>57.070707070707073</c:v>
                </c:pt>
                <c:pt idx="57">
                  <c:v>58.080808080808083</c:v>
                </c:pt>
                <c:pt idx="58">
                  <c:v>59.090909090909093</c:v>
                </c:pt>
                <c:pt idx="59">
                  <c:v>60.101010101010104</c:v>
                </c:pt>
                <c:pt idx="60">
                  <c:v>61.111111111111114</c:v>
                </c:pt>
                <c:pt idx="61">
                  <c:v>62.121212121212125</c:v>
                </c:pt>
                <c:pt idx="62">
                  <c:v>63.131313131313135</c:v>
                </c:pt>
                <c:pt idx="63">
                  <c:v>64.141414141414145</c:v>
                </c:pt>
                <c:pt idx="64">
                  <c:v>65.151515151515156</c:v>
                </c:pt>
                <c:pt idx="65">
                  <c:v>66.161616161616166</c:v>
                </c:pt>
                <c:pt idx="66">
                  <c:v>67.171717171717177</c:v>
                </c:pt>
                <c:pt idx="67">
                  <c:v>68.181818181818187</c:v>
                </c:pt>
                <c:pt idx="68">
                  <c:v>69.191919191919197</c:v>
                </c:pt>
                <c:pt idx="69">
                  <c:v>70.202020202020208</c:v>
                </c:pt>
                <c:pt idx="70">
                  <c:v>71.212121212121218</c:v>
                </c:pt>
                <c:pt idx="71">
                  <c:v>72.222222222222229</c:v>
                </c:pt>
                <c:pt idx="72">
                  <c:v>73.232323232323239</c:v>
                </c:pt>
                <c:pt idx="73">
                  <c:v>74.242424242424249</c:v>
                </c:pt>
                <c:pt idx="74">
                  <c:v>75.25252525252526</c:v>
                </c:pt>
                <c:pt idx="75">
                  <c:v>76.26262626262627</c:v>
                </c:pt>
                <c:pt idx="76">
                  <c:v>77.27272727272728</c:v>
                </c:pt>
                <c:pt idx="77">
                  <c:v>78.282828282828291</c:v>
                </c:pt>
                <c:pt idx="78">
                  <c:v>79.292929292929301</c:v>
                </c:pt>
                <c:pt idx="79">
                  <c:v>80.303030303030312</c:v>
                </c:pt>
                <c:pt idx="80">
                  <c:v>81.313131313131322</c:v>
                </c:pt>
                <c:pt idx="81">
                  <c:v>82.323232323232332</c:v>
                </c:pt>
                <c:pt idx="82">
                  <c:v>83.333333333333343</c:v>
                </c:pt>
                <c:pt idx="83">
                  <c:v>84.343434343434353</c:v>
                </c:pt>
                <c:pt idx="84">
                  <c:v>85.353535353535364</c:v>
                </c:pt>
                <c:pt idx="85">
                  <c:v>86.363636363636374</c:v>
                </c:pt>
                <c:pt idx="86">
                  <c:v>87.373737373737384</c:v>
                </c:pt>
                <c:pt idx="87">
                  <c:v>88.383838383838395</c:v>
                </c:pt>
                <c:pt idx="88">
                  <c:v>89.393939393939405</c:v>
                </c:pt>
                <c:pt idx="89">
                  <c:v>90.404040404040416</c:v>
                </c:pt>
                <c:pt idx="90">
                  <c:v>91.414141414141426</c:v>
                </c:pt>
                <c:pt idx="91">
                  <c:v>92.424242424242436</c:v>
                </c:pt>
                <c:pt idx="92">
                  <c:v>93.434343434343447</c:v>
                </c:pt>
                <c:pt idx="93">
                  <c:v>94.444444444444457</c:v>
                </c:pt>
                <c:pt idx="94">
                  <c:v>95.454545454545467</c:v>
                </c:pt>
                <c:pt idx="95">
                  <c:v>96.464646464646478</c:v>
                </c:pt>
                <c:pt idx="96">
                  <c:v>97.474747474747474</c:v>
                </c:pt>
                <c:pt idx="97">
                  <c:v>98.484848484848484</c:v>
                </c:pt>
                <c:pt idx="98">
                  <c:v>99.494949494949495</c:v>
                </c:pt>
              </c:numCache>
            </c:numRef>
          </c:xVal>
          <c:yVal>
            <c:numRef>
              <c:f>Sheet1!$Z$29:$Z$127</c:f>
              <c:numCache>
                <c:formatCode>General</c:formatCode>
                <c:ptCount val="99"/>
                <c:pt idx="0">
                  <c:v>0.11219625656864281</c:v>
                </c:pt>
                <c:pt idx="1">
                  <c:v>0.13167173308608576</c:v>
                </c:pt>
                <c:pt idx="2">
                  <c:v>0.1862403115338091</c:v>
                </c:pt>
                <c:pt idx="3">
                  <c:v>0.19999212692780516</c:v>
                </c:pt>
                <c:pt idx="4">
                  <c:v>0.22749538465698904</c:v>
                </c:pt>
                <c:pt idx="5">
                  <c:v>0.23224960445334369</c:v>
                </c:pt>
                <c:pt idx="6">
                  <c:v>0.23724499811961441</c:v>
                </c:pt>
                <c:pt idx="7">
                  <c:v>0.25205953656697822</c:v>
                </c:pt>
                <c:pt idx="8">
                  <c:v>0.25772840172413225</c:v>
                </c:pt>
                <c:pt idx="9">
                  <c:v>0.26381590243427799</c:v>
                </c:pt>
                <c:pt idx="10">
                  <c:v>0.27047234402558801</c:v>
                </c:pt>
                <c:pt idx="11">
                  <c:v>0.29741795189970854</c:v>
                </c:pt>
                <c:pt idx="12">
                  <c:v>0.2997489928842863</c:v>
                </c:pt>
                <c:pt idx="13">
                  <c:v>0.30736946927796149</c:v>
                </c:pt>
                <c:pt idx="14">
                  <c:v>0.30815921310839012</c:v>
                </c:pt>
                <c:pt idx="15">
                  <c:v>0.3083837318453353</c:v>
                </c:pt>
                <c:pt idx="16">
                  <c:v>0.31236087166255921</c:v>
                </c:pt>
                <c:pt idx="17">
                  <c:v>0.32092922264735685</c:v>
                </c:pt>
                <c:pt idx="18">
                  <c:v>0.33394306034970411</c:v>
                </c:pt>
                <c:pt idx="19">
                  <c:v>0.33652183987236295</c:v>
                </c:pt>
                <c:pt idx="20">
                  <c:v>0.33876499517480929</c:v>
                </c:pt>
                <c:pt idx="21">
                  <c:v>0.34675238240852235</c:v>
                </c:pt>
                <c:pt idx="22">
                  <c:v>0.35653122715166752</c:v>
                </c:pt>
                <c:pt idx="23">
                  <c:v>0.36349865139940168</c:v>
                </c:pt>
                <c:pt idx="24">
                  <c:v>0.36970110393761968</c:v>
                </c:pt>
                <c:pt idx="25">
                  <c:v>0.37084690022290512</c:v>
                </c:pt>
                <c:pt idx="26">
                  <c:v>0.37524509358982872</c:v>
                </c:pt>
                <c:pt idx="27">
                  <c:v>0.38664960613827359</c:v>
                </c:pt>
                <c:pt idx="28">
                  <c:v>0.3982286802703412</c:v>
                </c:pt>
                <c:pt idx="29">
                  <c:v>0.40420326051101885</c:v>
                </c:pt>
                <c:pt idx="30">
                  <c:v>0.4110178911656247</c:v>
                </c:pt>
                <c:pt idx="31">
                  <c:v>0.41370848157554141</c:v>
                </c:pt>
                <c:pt idx="32">
                  <c:v>0.42493242548929988</c:v>
                </c:pt>
                <c:pt idx="33">
                  <c:v>0.43070938875103626</c:v>
                </c:pt>
                <c:pt idx="34">
                  <c:v>0.43375769225290267</c:v>
                </c:pt>
                <c:pt idx="35">
                  <c:v>0.44181511725254541</c:v>
                </c:pt>
                <c:pt idx="36">
                  <c:v>0.44397234580704692</c:v>
                </c:pt>
                <c:pt idx="37">
                  <c:v>0.44443129482786581</c:v>
                </c:pt>
                <c:pt idx="38">
                  <c:v>0.44928826598805105</c:v>
                </c:pt>
                <c:pt idx="39">
                  <c:v>0.45200995402182964</c:v>
                </c:pt>
                <c:pt idx="40">
                  <c:v>0.45500668900069818</c:v>
                </c:pt>
                <c:pt idx="41">
                  <c:v>0.45946671617606971</c:v>
                </c:pt>
                <c:pt idx="42">
                  <c:v>0.46508836143507509</c:v>
                </c:pt>
                <c:pt idx="43">
                  <c:v>0.47498722303252572</c:v>
                </c:pt>
                <c:pt idx="44">
                  <c:v>0.49173214662897324</c:v>
                </c:pt>
                <c:pt idx="45">
                  <c:v>0.49220889984896032</c:v>
                </c:pt>
                <c:pt idx="46">
                  <c:v>0.49590623521970506</c:v>
                </c:pt>
                <c:pt idx="47">
                  <c:v>0.49732102891431551</c:v>
                </c:pt>
                <c:pt idx="48">
                  <c:v>0.50795291188066205</c:v>
                </c:pt>
                <c:pt idx="49">
                  <c:v>0.51264586426313941</c:v>
                </c:pt>
                <c:pt idx="50">
                  <c:v>0.51675555692790198</c:v>
                </c:pt>
                <c:pt idx="51">
                  <c:v>0.51704788397609558</c:v>
                </c:pt>
                <c:pt idx="52">
                  <c:v>0.51723516820435411</c:v>
                </c:pt>
                <c:pt idx="53">
                  <c:v>0.53618150477829141</c:v>
                </c:pt>
                <c:pt idx="54">
                  <c:v>0.53955192950192554</c:v>
                </c:pt>
                <c:pt idx="55">
                  <c:v>0.55197844751117675</c:v>
                </c:pt>
                <c:pt idx="56">
                  <c:v>0.55277454957131644</c:v>
                </c:pt>
                <c:pt idx="57">
                  <c:v>0.57958504433401936</c:v>
                </c:pt>
                <c:pt idx="58">
                  <c:v>0.59429426000280672</c:v>
                </c:pt>
                <c:pt idx="59">
                  <c:v>0.61328241223257818</c:v>
                </c:pt>
                <c:pt idx="60">
                  <c:v>0.63161946937716262</c:v>
                </c:pt>
                <c:pt idx="61">
                  <c:v>0.6406855392789762</c:v>
                </c:pt>
                <c:pt idx="62">
                  <c:v>0.64716941986068943</c:v>
                </c:pt>
                <c:pt idx="63">
                  <c:v>0.64810372943867733</c:v>
                </c:pt>
                <c:pt idx="64">
                  <c:v>0.64908190852237502</c:v>
                </c:pt>
                <c:pt idx="65">
                  <c:v>0.65212629441323466</c:v>
                </c:pt>
                <c:pt idx="66">
                  <c:v>0.65696374730766405</c:v>
                </c:pt>
                <c:pt idx="67">
                  <c:v>0.66622186483878487</c:v>
                </c:pt>
                <c:pt idx="68">
                  <c:v>0.67077018043836301</c:v>
                </c:pt>
                <c:pt idx="69">
                  <c:v>0.67150255200813191</c:v>
                </c:pt>
                <c:pt idx="70">
                  <c:v>0.67884863511012072</c:v>
                </c:pt>
                <c:pt idx="71">
                  <c:v>0.68255838105838473</c:v>
                </c:pt>
                <c:pt idx="72">
                  <c:v>0.6891019966363584</c:v>
                </c:pt>
                <c:pt idx="73">
                  <c:v>0.70275148391952413</c:v>
                </c:pt>
                <c:pt idx="74">
                  <c:v>0.71306985210681084</c:v>
                </c:pt>
                <c:pt idx="75">
                  <c:v>0.7151493458843915</c:v>
                </c:pt>
                <c:pt idx="76">
                  <c:v>0.72127953292732239</c:v>
                </c:pt>
                <c:pt idx="77">
                  <c:v>0.73453861724285541</c:v>
                </c:pt>
                <c:pt idx="78">
                  <c:v>0.73627973022094784</c:v>
                </c:pt>
                <c:pt idx="79">
                  <c:v>0.73728055118598435</c:v>
                </c:pt>
                <c:pt idx="80">
                  <c:v>0.74059637393501387</c:v>
                </c:pt>
                <c:pt idx="81">
                  <c:v>0.74850171721692704</c:v>
                </c:pt>
                <c:pt idx="82">
                  <c:v>0.74947773739281165</c:v>
                </c:pt>
                <c:pt idx="83">
                  <c:v>0.75865373301830485</c:v>
                </c:pt>
                <c:pt idx="84">
                  <c:v>0.76402754131303452</c:v>
                </c:pt>
                <c:pt idx="85">
                  <c:v>0.77307095404179105</c:v>
                </c:pt>
                <c:pt idx="86">
                  <c:v>0.77901753074964941</c:v>
                </c:pt>
                <c:pt idx="87">
                  <c:v>0.78195236816211977</c:v>
                </c:pt>
                <c:pt idx="88">
                  <c:v>0.79022351938563629</c:v>
                </c:pt>
                <c:pt idx="89">
                  <c:v>0.79750737047927767</c:v>
                </c:pt>
                <c:pt idx="90">
                  <c:v>0.80097678521929949</c:v>
                </c:pt>
                <c:pt idx="91">
                  <c:v>0.81159721683488995</c:v>
                </c:pt>
                <c:pt idx="92">
                  <c:v>0.82071530506317469</c:v>
                </c:pt>
                <c:pt idx="93">
                  <c:v>0.84620067172306823</c:v>
                </c:pt>
                <c:pt idx="94">
                  <c:v>0.86794130428388083</c:v>
                </c:pt>
                <c:pt idx="95">
                  <c:v>0.8683936499477668</c:v>
                </c:pt>
                <c:pt idx="96">
                  <c:v>0.87371234976016232</c:v>
                </c:pt>
                <c:pt idx="97">
                  <c:v>0.88956105778770467</c:v>
                </c:pt>
                <c:pt idx="98">
                  <c:v>0.91147759087987901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8B-4EEA-9143-68DE5563E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3308591"/>
        <c:axId val="1463314351"/>
      </c:scatterChart>
      <c:valAx>
        <c:axId val="1463308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3314351"/>
        <c:crosses val="autoZero"/>
        <c:crossBetween val="midCat"/>
      </c:valAx>
      <c:valAx>
        <c:axId val="14633143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0.432613528171689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330859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159359</xdr:colOff>
      <xdr:row>32</xdr:row>
      <xdr:rowOff>24255</xdr:rowOff>
    </xdr:from>
    <xdr:to>
      <xdr:col>20</xdr:col>
      <xdr:colOff>82818</xdr:colOff>
      <xdr:row>47</xdr:row>
      <xdr:rowOff>91830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271A6F-97F7-E17C-3279-D8CA89FC4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53340</xdr:colOff>
      <xdr:row>19</xdr:row>
      <xdr:rowOff>125730</xdr:rowOff>
    </xdr:from>
    <xdr:to>
      <xdr:col>43</xdr:col>
      <xdr:colOff>358140</xdr:colOff>
      <xdr:row>34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83FC1F-84CD-F6DF-2C0A-1F01A8684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38100</xdr:colOff>
      <xdr:row>28</xdr:row>
      <xdr:rowOff>110490</xdr:rowOff>
    </xdr:from>
    <xdr:to>
      <xdr:col>35</xdr:col>
      <xdr:colOff>342900</xdr:colOff>
      <xdr:row>43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F907E1-9104-9243-7587-7AE3612F5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117349</xdr:colOff>
      <xdr:row>37</xdr:row>
      <xdr:rowOff>72852</xdr:rowOff>
    </xdr:from>
    <xdr:to>
      <xdr:col>44</xdr:col>
      <xdr:colOff>434590</xdr:colOff>
      <xdr:row>52</xdr:row>
      <xdr:rowOff>2512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99FB00-5A8B-E19D-E4E4-DBEB173F1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410210</xdr:colOff>
      <xdr:row>5</xdr:row>
      <xdr:rowOff>58262</xdr:rowOff>
    </xdr:from>
    <xdr:to>
      <xdr:col>44</xdr:col>
      <xdr:colOff>124072</xdr:colOff>
      <xdr:row>19</xdr:row>
      <xdr:rowOff>174535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90892E5-A442-5766-EF77-CFB093EE4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167639</xdr:colOff>
      <xdr:row>4</xdr:row>
      <xdr:rowOff>114300</xdr:rowOff>
    </xdr:from>
    <xdr:to>
      <xdr:col>35</xdr:col>
      <xdr:colOff>167639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E0FBB8-BF6C-149C-B6B7-376E974CF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398548</xdr:colOff>
      <xdr:row>17</xdr:row>
      <xdr:rowOff>33482</xdr:rowOff>
    </xdr:from>
    <xdr:to>
      <xdr:col>35</xdr:col>
      <xdr:colOff>398548</xdr:colOff>
      <xdr:row>27</xdr:row>
      <xdr:rowOff>10391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8CE64C-04F8-312F-4C77-0FA39E94A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CE3864F-258A-487B-8A07-31FFE3F3B8DD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1A37A4DD-1421-4733-BD45-E6AF68A3D91C}"/>
  </we:bindings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9F2D9E0-B156-488C-9FCB-BCF22128D843}">
  <we:reference id="01cd1c88-25e9-4daa-b0ef-32dc541ed811" version="2.0.0.0" store="EXCatalog" storeType="EXCatalog"/>
  <we:alternateReferences>
    <we:reference id="WA200000068" version="2.0.0.0" store="en-IN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7"/>
  <sheetViews>
    <sheetView tabSelected="1" topLeftCell="M2" zoomScale="81" zoomScaleNormal="115" workbookViewId="0">
      <selection activeCell="Z21" sqref="Z21"/>
    </sheetView>
  </sheetViews>
  <sheetFormatPr defaultRowHeight="14.4" x14ac:dyDescent="0.3"/>
  <cols>
    <col min="1" max="1" width="9" bestFit="1" customWidth="1"/>
    <col min="2" max="6" width="9.109375" bestFit="1" customWidth="1"/>
    <col min="7" max="7" width="13.109375" bestFit="1" customWidth="1"/>
    <col min="10" max="10" width="9.109375" bestFit="1" customWidth="1"/>
    <col min="12" max="12" width="12.6640625" customWidth="1"/>
    <col min="13" max="13" width="16.88671875" customWidth="1"/>
    <col min="14" max="14" width="20.21875" customWidth="1"/>
    <col min="16" max="16" width="12.44140625" bestFit="1" customWidth="1"/>
    <col min="17" max="17" width="9.5546875" customWidth="1"/>
    <col min="18" max="18" width="14.88671875" customWidth="1"/>
    <col min="19" max="19" width="9" bestFit="1" customWidth="1"/>
    <col min="20" max="20" width="12.6640625" customWidth="1"/>
    <col min="21" max="21" width="17.88671875" customWidth="1"/>
    <col min="22" max="22" width="15.88671875" customWidth="1"/>
    <col min="23" max="23" width="14.88671875" customWidth="1"/>
    <col min="24" max="24" width="18.6640625" customWidth="1"/>
    <col min="25" max="26" width="12.33203125" bestFit="1" customWidth="1"/>
    <col min="27" max="29" width="11.88671875" bestFit="1" customWidth="1"/>
  </cols>
  <sheetData>
    <row r="1" spans="1:26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11</v>
      </c>
      <c r="F1" s="1" t="s">
        <v>12</v>
      </c>
      <c r="G1" s="1" t="s">
        <v>14</v>
      </c>
      <c r="L1" s="1" t="s">
        <v>3</v>
      </c>
      <c r="M1" s="1" t="s">
        <v>16</v>
      </c>
      <c r="N1" s="1" t="s">
        <v>17</v>
      </c>
    </row>
    <row r="2" spans="1:26" x14ac:dyDescent="0.3">
      <c r="A2" s="2">
        <v>0.47461267833281184</v>
      </c>
      <c r="B2" s="2">
        <v>0.43261352817168947</v>
      </c>
      <c r="C2" s="2">
        <f>A2*B2</f>
        <v>0.20532386528857288</v>
      </c>
      <c r="D2" s="2">
        <f>A2*A2</f>
        <v>0.22525719443424513</v>
      </c>
      <c r="E2" s="2">
        <f t="shared" ref="E2:E33" si="0">J$9*A2+J$10</f>
        <v>0.49644773716690055</v>
      </c>
      <c r="F2" s="2">
        <f>E2-B2</f>
        <v>6.3834208995211084E-2</v>
      </c>
      <c r="G2" s="2">
        <f>F2*F2</f>
        <v>4.0748062380442877E-3</v>
      </c>
      <c r="L2" s="2">
        <v>0.53074389682164513</v>
      </c>
      <c r="M2" s="2">
        <f t="shared" ref="M2:M33" si="1">J$4-B2</f>
        <v>9.8130368649955668E-2</v>
      </c>
      <c r="N2" s="2">
        <f>M2*M2</f>
        <v>9.6295692513762021E-3</v>
      </c>
    </row>
    <row r="3" spans="1:26" x14ac:dyDescent="0.3">
      <c r="A3" s="2">
        <v>0.74522111847214556</v>
      </c>
      <c r="B3" s="2">
        <v>0.68255838105838473</v>
      </c>
      <c r="C3" s="2">
        <f>A3*B3</f>
        <v>0.50865692015486641</v>
      </c>
      <c r="D3" s="2">
        <f t="shared" ref="D3:D66" si="2">A3*A3</f>
        <v>0.55535451541687564</v>
      </c>
      <c r="E3" s="2">
        <f t="shared" si="0"/>
        <v>0.66316550846031497</v>
      </c>
      <c r="F3" s="2">
        <f t="shared" ref="F3:F66" si="3">E3-B3</f>
        <v>-1.9392872598069766E-2</v>
      </c>
      <c r="G3" s="2">
        <f t="shared" ref="G3:G66" si="4">F3*F3</f>
        <v>3.7608350760496521E-4</v>
      </c>
      <c r="I3" s="1" t="s">
        <v>2</v>
      </c>
      <c r="J3" s="2">
        <f>AVERAGE(A2:A101)</f>
        <v>0.53028059060718014</v>
      </c>
      <c r="L3" s="2">
        <v>0.53074389682164513</v>
      </c>
      <c r="M3" s="2">
        <f t="shared" si="1"/>
        <v>-0.1518144842367396</v>
      </c>
      <c r="N3" s="2">
        <f t="shared" ref="N3:N66" si="5">M3*M3</f>
        <v>2.3047637624067255E-2</v>
      </c>
    </row>
    <row r="4" spans="1:26" x14ac:dyDescent="0.3">
      <c r="A4" s="2">
        <v>0.78367626103568155</v>
      </c>
      <c r="B4" s="2">
        <v>0.81159721683488995</v>
      </c>
      <c r="C4" s="2">
        <f t="shared" ref="C4:C67" si="6">A4*B4</f>
        <v>0.63602947235613183</v>
      </c>
      <c r="D4" s="2">
        <f t="shared" si="2"/>
        <v>0.6141484821108657</v>
      </c>
      <c r="E4" s="2">
        <f t="shared" si="0"/>
        <v>0.68685714076735671</v>
      </c>
      <c r="F4" s="2">
        <f t="shared" si="3"/>
        <v>-0.12474007606753323</v>
      </c>
      <c r="G4" s="2">
        <f t="shared" si="4"/>
        <v>1.5560086577333978E-2</v>
      </c>
      <c r="I4" s="1" t="s">
        <v>3</v>
      </c>
      <c r="J4" s="2">
        <f>AVERAGE(B2:B101)</f>
        <v>0.53074389682164513</v>
      </c>
      <c r="L4" s="2">
        <v>0.53074389682164513</v>
      </c>
      <c r="M4" s="2">
        <f t="shared" si="1"/>
        <v>-0.28085332001324481</v>
      </c>
      <c r="N4" s="2">
        <f t="shared" si="5"/>
        <v>7.8878587362462102E-2</v>
      </c>
    </row>
    <row r="5" spans="1:26" x14ac:dyDescent="0.3">
      <c r="A5" s="2">
        <v>0.51424339620781434</v>
      </c>
      <c r="B5" s="2">
        <v>0.44928826598805105</v>
      </c>
      <c r="C5" s="2">
        <f t="shared" si="6"/>
        <v>0.23104352377801521</v>
      </c>
      <c r="D5" s="2">
        <f t="shared" si="2"/>
        <v>0.26444627054334713</v>
      </c>
      <c r="E5" s="2">
        <f t="shared" si="0"/>
        <v>0.52086362366133709</v>
      </c>
      <c r="F5" s="2">
        <f t="shared" si="3"/>
        <v>7.1575357673286044E-2</v>
      </c>
      <c r="G5" s="2">
        <f t="shared" si="4"/>
        <v>5.1230318260588274E-3</v>
      </c>
      <c r="I5" s="1" t="s">
        <v>4</v>
      </c>
      <c r="J5" s="2">
        <f>AVERAGE(C2:C101)</f>
        <v>0.33887004625612294</v>
      </c>
      <c r="L5" s="2">
        <v>0.53074389682164513</v>
      </c>
      <c r="M5" s="2">
        <f t="shared" si="1"/>
        <v>8.1455630833594084E-2</v>
      </c>
      <c r="N5" s="2">
        <f t="shared" si="5"/>
        <v>6.6350197944987635E-3</v>
      </c>
      <c r="P5" s="1" t="s">
        <v>13</v>
      </c>
      <c r="Q5" s="2">
        <f>SUM(N2:N101)</f>
        <v>3.9519094907881547</v>
      </c>
      <c r="U5" t="s">
        <v>18</v>
      </c>
    </row>
    <row r="6" spans="1:26" ht="15" thickBot="1" x14ac:dyDescent="0.35">
      <c r="A6" s="2">
        <v>0.92511887266091608</v>
      </c>
      <c r="B6" s="2">
        <v>0.86794130428388083</v>
      </c>
      <c r="C6" s="2">
        <f t="shared" si="6"/>
        <v>0.80294888095494898</v>
      </c>
      <c r="D6" s="2">
        <f t="shared" si="2"/>
        <v>0.85584492855340422</v>
      </c>
      <c r="E6" s="2">
        <f t="shared" si="0"/>
        <v>0.77399779670527735</v>
      </c>
      <c r="F6" s="2">
        <f t="shared" si="3"/>
        <v>-9.394350757860348E-2</v>
      </c>
      <c r="G6" s="2">
        <f t="shared" si="4"/>
        <v>8.8253826161711294E-3</v>
      </c>
      <c r="I6" s="1" t="s">
        <v>5</v>
      </c>
      <c r="J6" s="2">
        <f>AVERAGE(D2:D101)</f>
        <v>0.37441007993394926</v>
      </c>
      <c r="L6" s="2">
        <v>0.53074389682164513</v>
      </c>
      <c r="M6" s="2">
        <f t="shared" si="1"/>
        <v>-0.3371974074622357</v>
      </c>
      <c r="N6" s="2">
        <f t="shared" si="5"/>
        <v>0.11370209159925301</v>
      </c>
      <c r="P6" s="1" t="s">
        <v>15</v>
      </c>
      <c r="Q6" s="2" cm="1">
        <f t="array" ref="Q6">AVERAGE(ABS(M2:M101))</f>
        <v>0.17144273006215197</v>
      </c>
    </row>
    <row r="7" spans="1:26" x14ac:dyDescent="0.3">
      <c r="A7" s="2">
        <v>6.2868561759879538E-2</v>
      </c>
      <c r="B7" s="2">
        <v>0.29741795189970854</v>
      </c>
      <c r="C7" s="2">
        <f t="shared" si="6"/>
        <v>1.8698238877503708E-2</v>
      </c>
      <c r="D7" s="2">
        <f t="shared" si="2"/>
        <v>3.952456057755788E-3</v>
      </c>
      <c r="E7" s="2">
        <f t="shared" si="0"/>
        <v>0.24277840806958795</v>
      </c>
      <c r="F7" s="2">
        <f t="shared" si="3"/>
        <v>-5.4639543830120596E-2</v>
      </c>
      <c r="G7" s="2">
        <f t="shared" si="4"/>
        <v>2.9854797499636698E-3</v>
      </c>
      <c r="I7" s="1" t="s">
        <v>6</v>
      </c>
      <c r="J7" s="2">
        <f>J3*J3</f>
        <v>0.28119750477469979</v>
      </c>
      <c r="L7" s="2">
        <v>0.53074389682164513</v>
      </c>
      <c r="M7" s="2">
        <f t="shared" si="1"/>
        <v>0.23332594492193659</v>
      </c>
      <c r="N7" s="2">
        <f t="shared" si="5"/>
        <v>5.4440996573714588E-2</v>
      </c>
      <c r="U7" s="5" t="s">
        <v>19</v>
      </c>
      <c r="V7" s="5"/>
    </row>
    <row r="8" spans="1:26" x14ac:dyDescent="0.3">
      <c r="A8" s="2">
        <v>0.86055351116304912</v>
      </c>
      <c r="B8" s="2">
        <v>0.76402754131303452</v>
      </c>
      <c r="C8" s="2">
        <f t="shared" si="6"/>
        <v>0.65748658330220344</v>
      </c>
      <c r="D8" s="2">
        <f t="shared" si="2"/>
        <v>0.74055234557505212</v>
      </c>
      <c r="E8" s="2">
        <f t="shared" si="0"/>
        <v>0.7342200530172549</v>
      </c>
      <c r="F8" s="2">
        <f t="shared" si="3"/>
        <v>-2.9807488295779616E-2</v>
      </c>
      <c r="G8" s="2">
        <f t="shared" si="4"/>
        <v>8.8848635850303885E-4</v>
      </c>
      <c r="I8" s="1"/>
      <c r="J8" s="2"/>
      <c r="L8" s="2">
        <v>0.53074389682164513</v>
      </c>
      <c r="M8" s="2">
        <f t="shared" si="1"/>
        <v>-0.23328364449138939</v>
      </c>
      <c r="N8" s="2">
        <f t="shared" si="5"/>
        <v>5.4421258787184949E-2</v>
      </c>
      <c r="U8" t="s">
        <v>20</v>
      </c>
      <c r="V8">
        <v>0.94659646564921296</v>
      </c>
    </row>
    <row r="9" spans="1:26" x14ac:dyDescent="0.3">
      <c r="A9" s="2">
        <v>0.92491119339101657</v>
      </c>
      <c r="B9" s="2">
        <v>0.74947773739281165</v>
      </c>
      <c r="C9" s="2">
        <f t="shared" si="6"/>
        <v>0.69320034851198431</v>
      </c>
      <c r="D9" s="2">
        <f t="shared" si="2"/>
        <v>0.85546071565999449</v>
      </c>
      <c r="E9" s="2">
        <f t="shared" si="0"/>
        <v>0.77386984864495945</v>
      </c>
      <c r="F9" s="2">
        <f t="shared" si="3"/>
        <v>2.4392111252147797E-2</v>
      </c>
      <c r="G9" s="2">
        <f t="shared" si="4"/>
        <v>5.9497509133715515E-4</v>
      </c>
      <c r="I9" s="1" t="s">
        <v>9</v>
      </c>
      <c r="J9" s="2">
        <f>(J5-J3*J4)/(J6-J7)</f>
        <v>0.61608489080227113</v>
      </c>
      <c r="L9" s="2">
        <v>0.53074389682164513</v>
      </c>
      <c r="M9" s="2">
        <f t="shared" si="1"/>
        <v>-0.21873384057116652</v>
      </c>
      <c r="N9" s="2">
        <f t="shared" si="5"/>
        <v>4.7844493011012491E-2</v>
      </c>
      <c r="U9" t="s">
        <v>21</v>
      </c>
      <c r="V9">
        <v>0.89604486877958156</v>
      </c>
    </row>
    <row r="10" spans="1:26" x14ac:dyDescent="0.3">
      <c r="A10" s="2">
        <v>0.93958976531529759</v>
      </c>
      <c r="B10" s="2">
        <v>0.7151493458843915</v>
      </c>
      <c r="C10" s="2">
        <f t="shared" si="6"/>
        <v>0.67194700606490398</v>
      </c>
      <c r="D10" s="2">
        <f t="shared" si="2"/>
        <v>0.88282892708525595</v>
      </c>
      <c r="E10" s="2">
        <f t="shared" si="0"/>
        <v>0.78291309502606343</v>
      </c>
      <c r="F10" s="2">
        <f t="shared" si="3"/>
        <v>6.7763749141671936E-2</v>
      </c>
      <c r="G10" s="2">
        <f t="shared" si="4"/>
        <v>4.5919256977354442E-3</v>
      </c>
      <c r="I10" s="1" t="s">
        <v>10</v>
      </c>
      <c r="J10" s="2">
        <f>(J4*J6-J3*J5)/(J6-J7)</f>
        <v>0.20404603706285673</v>
      </c>
      <c r="L10" s="2">
        <v>0.53074389682164513</v>
      </c>
      <c r="M10" s="2">
        <f t="shared" si="1"/>
        <v>-0.18440544906274636</v>
      </c>
      <c r="N10" s="2">
        <f t="shared" si="5"/>
        <v>3.4005369644033147E-2</v>
      </c>
      <c r="U10" t="s">
        <v>22</v>
      </c>
      <c r="V10">
        <v>0.89497316639586599</v>
      </c>
    </row>
    <row r="11" spans="1:26" x14ac:dyDescent="0.3">
      <c r="A11" s="2">
        <v>0.49099303891136425</v>
      </c>
      <c r="B11" s="2">
        <v>0.55277454957131644</v>
      </c>
      <c r="C11" s="2">
        <f t="shared" si="6"/>
        <v>0.27140845592688123</v>
      </c>
      <c r="D11" s="2">
        <f t="shared" si="2"/>
        <v>0.24107416425941644</v>
      </c>
      <c r="E11" s="2">
        <f t="shared" si="0"/>
        <v>0.50653942982523992</v>
      </c>
      <c r="F11" s="2">
        <f t="shared" si="3"/>
        <v>-4.6235119746076525E-2</v>
      </c>
      <c r="G11" s="2">
        <f t="shared" si="4"/>
        <v>2.1376862979340353E-3</v>
      </c>
      <c r="I11" s="1" t="s">
        <v>13</v>
      </c>
      <c r="J11" s="2">
        <f>SUM(G2:G101)</f>
        <v>0.41392746356882276</v>
      </c>
      <c r="L11" s="2">
        <v>0.53074389682164513</v>
      </c>
      <c r="M11" s="2">
        <f t="shared" si="1"/>
        <v>-2.2030652749671309E-2</v>
      </c>
      <c r="N11" s="2">
        <f t="shared" si="5"/>
        <v>4.8534966057660003E-4</v>
      </c>
      <c r="P11" s="7"/>
      <c r="Q11" s="7"/>
      <c r="U11" t="s">
        <v>23</v>
      </c>
      <c r="V11">
        <v>6.4998819577240075E-2</v>
      </c>
    </row>
    <row r="12" spans="1:26" ht="15" thickBot="1" x14ac:dyDescent="0.35">
      <c r="A12" s="2">
        <v>0.55901797995103142</v>
      </c>
      <c r="B12" s="2">
        <v>0.51264586426313941</v>
      </c>
      <c r="C12" s="2">
        <f t="shared" si="6"/>
        <v>0.28657825547063082</v>
      </c>
      <c r="D12" s="2">
        <f t="shared" si="2"/>
        <v>0.31250110190853175</v>
      </c>
      <c r="E12" s="2">
        <f t="shared" si="0"/>
        <v>0.5484485681974941</v>
      </c>
      <c r="F12" s="2">
        <f t="shared" si="3"/>
        <v>3.5802703934354696E-2</v>
      </c>
      <c r="G12" s="2">
        <f t="shared" si="4"/>
        <v>1.2818336090110573E-3</v>
      </c>
      <c r="I12" s="1" t="s">
        <v>15</v>
      </c>
      <c r="J12" s="2" cm="1">
        <f t="array" ref="J12">AVERAGE(ABS(F2:F101))</f>
        <v>5.5886747692561932E-2</v>
      </c>
      <c r="L12" s="2">
        <v>0.53074389682164513</v>
      </c>
      <c r="M12" s="2">
        <f t="shared" si="1"/>
        <v>1.8098032558505728E-2</v>
      </c>
      <c r="N12" s="2">
        <f t="shared" si="5"/>
        <v>3.2753878248873336E-4</v>
      </c>
      <c r="U12" s="3" t="s">
        <v>24</v>
      </c>
      <c r="V12" s="3">
        <v>99</v>
      </c>
    </row>
    <row r="13" spans="1:26" x14ac:dyDescent="0.3">
      <c r="A13" s="2">
        <v>0.27797419771294107</v>
      </c>
      <c r="B13" s="2">
        <v>0.44443129482786581</v>
      </c>
      <c r="C13" s="2">
        <f t="shared" si="6"/>
        <v>0.12354043261829957</v>
      </c>
      <c r="D13" s="2">
        <f t="shared" si="2"/>
        <v>7.7269654594153248E-2</v>
      </c>
      <c r="E13" s="2">
        <f t="shared" si="0"/>
        <v>0.37530174030668295</v>
      </c>
      <c r="F13" s="2">
        <f t="shared" si="3"/>
        <v>-6.9129554521182857E-2</v>
      </c>
      <c r="G13" s="2">
        <f t="shared" si="4"/>
        <v>4.7788953082971933E-3</v>
      </c>
      <c r="L13" s="2">
        <v>0.53074389682164513</v>
      </c>
      <c r="M13" s="2">
        <f t="shared" si="1"/>
        <v>8.6312601993779325E-2</v>
      </c>
      <c r="N13" s="2">
        <f t="shared" si="5"/>
        <v>7.4498652629365588E-3</v>
      </c>
    </row>
    <row r="14" spans="1:26" ht="15" thickBot="1" x14ac:dyDescent="0.35">
      <c r="A14" s="2">
        <v>0.49466554986470013</v>
      </c>
      <c r="B14" s="2">
        <v>0.53955192950192554</v>
      </c>
      <c r="C14" s="2">
        <f t="shared" si="6"/>
        <v>0.26689775188762993</v>
      </c>
      <c r="D14" s="2">
        <f t="shared" si="2"/>
        <v>0.24469400622294613</v>
      </c>
      <c r="E14" s="2">
        <f t="shared" si="0"/>
        <v>0.50880200833489586</v>
      </c>
      <c r="F14" s="2">
        <f t="shared" si="3"/>
        <v>-3.0749921167029681E-2</v>
      </c>
      <c r="G14" s="2">
        <f t="shared" si="4"/>
        <v>9.4555765177854008E-4</v>
      </c>
      <c r="L14" s="2">
        <v>0.53074389682164513</v>
      </c>
      <c r="M14" s="2">
        <f t="shared" si="1"/>
        <v>-8.8080326802804088E-3</v>
      </c>
      <c r="N14" s="2">
        <f t="shared" si="5"/>
        <v>7.7581439696887679E-5</v>
      </c>
      <c r="U14" t="s">
        <v>25</v>
      </c>
    </row>
    <row r="15" spans="1:26" x14ac:dyDescent="0.3">
      <c r="A15" s="2">
        <v>0.21873346974522323</v>
      </c>
      <c r="B15" s="2">
        <v>0.38664960613827359</v>
      </c>
      <c r="C15" s="2">
        <f t="shared" si="6"/>
        <v>8.4573209926248546E-2</v>
      </c>
      <c r="D15" s="2">
        <f t="shared" si="2"/>
        <v>4.7844330786784489E-2</v>
      </c>
      <c r="E15" s="2">
        <f t="shared" si="0"/>
        <v>0.3388044228856445</v>
      </c>
      <c r="F15" s="2">
        <f t="shared" si="3"/>
        <v>-4.7845183252629098E-2</v>
      </c>
      <c r="G15" s="2">
        <f t="shared" si="4"/>
        <v>2.28916156047766E-3</v>
      </c>
      <c r="L15" s="2">
        <v>0.53074389682164513</v>
      </c>
      <c r="M15" s="2">
        <f t="shared" si="1"/>
        <v>0.14409429068337154</v>
      </c>
      <c r="N15" s="2">
        <f t="shared" si="5"/>
        <v>2.0763164607543974E-2</v>
      </c>
      <c r="U15" s="4"/>
      <c r="V15" s="4" t="s">
        <v>30</v>
      </c>
      <c r="W15" s="4" t="s">
        <v>31</v>
      </c>
      <c r="X15" s="4" t="s">
        <v>32</v>
      </c>
      <c r="Y15" s="4" t="s">
        <v>33</v>
      </c>
      <c r="Z15" s="4" t="s">
        <v>34</v>
      </c>
    </row>
    <row r="16" spans="1:26" x14ac:dyDescent="0.3">
      <c r="A16" s="2">
        <v>0.4858707521743395</v>
      </c>
      <c r="B16" s="2">
        <v>0.4110178911656247</v>
      </c>
      <c r="C16" s="2">
        <f t="shared" si="6"/>
        <v>0.1997015719377529</v>
      </c>
      <c r="D16" s="2">
        <f t="shared" si="2"/>
        <v>0.23607038781845843</v>
      </c>
      <c r="E16" s="2">
        <f t="shared" si="0"/>
        <v>0.50338366636020204</v>
      </c>
      <c r="F16" s="2">
        <f t="shared" si="3"/>
        <v>9.2365775194577338E-2</v>
      </c>
      <c r="G16" s="2">
        <f t="shared" si="4"/>
        <v>8.5314364272951974E-3</v>
      </c>
      <c r="L16" s="2">
        <v>0.53074389682164513</v>
      </c>
      <c r="M16" s="2">
        <f t="shared" si="1"/>
        <v>0.11972600565602043</v>
      </c>
      <c r="N16" s="2">
        <f t="shared" si="5"/>
        <v>1.4334316430345436E-2</v>
      </c>
      <c r="U16" t="s">
        <v>26</v>
      </c>
      <c r="V16">
        <v>1</v>
      </c>
      <c r="W16">
        <v>3.5323725381563444</v>
      </c>
      <c r="X16">
        <v>3.5323725381563444</v>
      </c>
      <c r="Y16">
        <v>836.09487334808659</v>
      </c>
      <c r="Z16">
        <v>1.7692539757789105E-49</v>
      </c>
    </row>
    <row r="17" spans="1:29" x14ac:dyDescent="0.3">
      <c r="A17" s="2">
        <v>0.67262619544158198</v>
      </c>
      <c r="B17" s="2">
        <v>0.67884863511012072</v>
      </c>
      <c r="C17" s="2">
        <f t="shared" si="6"/>
        <v>0.45661137471483121</v>
      </c>
      <c r="D17" s="2">
        <f t="shared" si="2"/>
        <v>0.45242599879421724</v>
      </c>
      <c r="E17" s="2">
        <f t="shared" si="0"/>
        <v>0.61844087323223085</v>
      </c>
      <c r="F17" s="2">
        <f t="shared" si="3"/>
        <v>-6.0407761877889876E-2</v>
      </c>
      <c r="G17" s="2">
        <f t="shared" si="4"/>
        <v>3.6490976950958455E-3</v>
      </c>
      <c r="L17" s="2">
        <v>0.53074389682164513</v>
      </c>
      <c r="M17" s="2">
        <f t="shared" si="1"/>
        <v>-0.14810473828847559</v>
      </c>
      <c r="N17" s="2">
        <f t="shared" si="5"/>
        <v>2.1935013503497847E-2</v>
      </c>
      <c r="U17" t="s">
        <v>27</v>
      </c>
      <c r="V17">
        <v>97</v>
      </c>
      <c r="W17">
        <v>0.40981011500415693</v>
      </c>
      <c r="X17">
        <v>4.2248465464346076E-3</v>
      </c>
    </row>
    <row r="18" spans="1:29" ht="15" thickBot="1" x14ac:dyDescent="0.35">
      <c r="A18" s="2">
        <v>0.89541318735568853</v>
      </c>
      <c r="B18" s="2">
        <v>0.66622186483878487</v>
      </c>
      <c r="C18" s="2">
        <f t="shared" si="6"/>
        <v>0.59654384348134704</v>
      </c>
      <c r="D18" s="2">
        <f t="shared" si="2"/>
        <v>0.80176477609047336</v>
      </c>
      <c r="E18" s="2">
        <f t="shared" si="0"/>
        <v>0.75569657281779967</v>
      </c>
      <c r="F18" s="2">
        <f t="shared" si="3"/>
        <v>8.94747079790148E-2</v>
      </c>
      <c r="G18" s="2">
        <f t="shared" si="4"/>
        <v>8.005723367929974E-3</v>
      </c>
      <c r="L18" s="2">
        <v>0.53074389682164513</v>
      </c>
      <c r="M18" s="2">
        <f t="shared" si="1"/>
        <v>-0.13547796801713974</v>
      </c>
      <c r="N18" s="2">
        <f t="shared" si="5"/>
        <v>1.8354279818053137E-2</v>
      </c>
      <c r="U18" s="3" t="s">
        <v>28</v>
      </c>
      <c r="V18" s="3">
        <v>98</v>
      </c>
      <c r="W18" s="3">
        <v>3.9421826531605015</v>
      </c>
      <c r="X18" s="3"/>
      <c r="Y18" s="3"/>
      <c r="Z18" s="3"/>
    </row>
    <row r="19" spans="1:29" ht="15" thickBot="1" x14ac:dyDescent="0.35">
      <c r="A19" s="2">
        <v>0.90117399798370845</v>
      </c>
      <c r="B19" s="2">
        <v>0.65212629441323466</v>
      </c>
      <c r="C19" s="2">
        <f t="shared" si="6"/>
        <v>0.58767925992667558</v>
      </c>
      <c r="D19" s="2">
        <f t="shared" si="2"/>
        <v>0.81211457464194092</v>
      </c>
      <c r="E19" s="2">
        <f t="shared" si="0"/>
        <v>0.75924572120449585</v>
      </c>
      <c r="F19" s="2">
        <f t="shared" si="3"/>
        <v>0.10711942679126119</v>
      </c>
      <c r="G19" s="2">
        <f t="shared" si="4"/>
        <v>1.1474571596088364E-2</v>
      </c>
      <c r="L19" s="2">
        <v>0.53074389682164513</v>
      </c>
      <c r="M19" s="2">
        <f t="shared" si="1"/>
        <v>-0.12138239759158953</v>
      </c>
      <c r="N19" s="2">
        <f t="shared" si="5"/>
        <v>1.473368644508272E-2</v>
      </c>
      <c r="P19" s="6"/>
      <c r="Q19" s="6"/>
      <c r="R19" s="6"/>
      <c r="S19" s="6"/>
      <c r="T19" s="6"/>
    </row>
    <row r="20" spans="1:29" x14ac:dyDescent="0.3">
      <c r="A20" s="2">
        <v>0.57335015063459582</v>
      </c>
      <c r="B20" s="2">
        <v>0.46508836143507509</v>
      </c>
      <c r="C20" s="2">
        <f t="shared" si="6"/>
        <v>0.26665848208719767</v>
      </c>
      <c r="D20" s="2">
        <f t="shared" si="2"/>
        <v>0.32873039523271375</v>
      </c>
      <c r="E20" s="2">
        <f t="shared" si="0"/>
        <v>0.55727840200803747</v>
      </c>
      <c r="F20" s="2">
        <f t="shared" si="3"/>
        <v>9.2190040572962373E-2</v>
      </c>
      <c r="G20" s="2">
        <f t="shared" si="4"/>
        <v>8.4990035808444487E-3</v>
      </c>
      <c r="L20" s="2">
        <v>0.53074389682164513</v>
      </c>
      <c r="M20" s="2">
        <f t="shared" si="1"/>
        <v>6.5655535386570041E-2</v>
      </c>
      <c r="N20" s="2">
        <f t="shared" si="5"/>
        <v>4.3106493268971506E-3</v>
      </c>
      <c r="U20" s="4"/>
      <c r="V20" s="4" t="s">
        <v>35</v>
      </c>
      <c r="W20" s="4" t="s">
        <v>23</v>
      </c>
      <c r="X20" s="4" t="s">
        <v>36</v>
      </c>
      <c r="Y20" s="4" t="s">
        <v>37</v>
      </c>
      <c r="Z20" s="4" t="s">
        <v>38</v>
      </c>
      <c r="AA20" s="4" t="s">
        <v>39</v>
      </c>
      <c r="AB20" s="4" t="s">
        <v>40</v>
      </c>
      <c r="AC20" s="4" t="s">
        <v>41</v>
      </c>
    </row>
    <row r="21" spans="1:29" x14ac:dyDescent="0.3">
      <c r="A21" s="2">
        <v>1.3195462911787748E-2</v>
      </c>
      <c r="B21" s="2">
        <v>0.32092922264735685</v>
      </c>
      <c r="C21" s="2">
        <f t="shared" si="6"/>
        <v>4.2348096547520694E-3</v>
      </c>
      <c r="D21" s="2">
        <f t="shared" si="2"/>
        <v>1.7412024145636599E-4</v>
      </c>
      <c r="E21" s="2">
        <f t="shared" si="0"/>
        <v>0.21217556238995092</v>
      </c>
      <c r="F21" s="2">
        <f t="shared" si="3"/>
        <v>-0.10875366025740593</v>
      </c>
      <c r="G21" s="2">
        <f t="shared" si="4"/>
        <v>1.1827358619383275E-2</v>
      </c>
      <c r="L21" s="2">
        <v>0.53074389682164513</v>
      </c>
      <c r="M21" s="2">
        <f t="shared" si="1"/>
        <v>0.20981467417428828</v>
      </c>
      <c r="N21" s="2">
        <f t="shared" si="5"/>
        <v>4.4022197498862756E-2</v>
      </c>
      <c r="U21" t="s">
        <v>29</v>
      </c>
      <c r="V21">
        <v>0.20489531164443214</v>
      </c>
      <c r="W21">
        <v>1.3055302682548436E-2</v>
      </c>
      <c r="X21">
        <v>15.694412962046771</v>
      </c>
      <c r="Y21">
        <v>2.2655771633084923E-28</v>
      </c>
      <c r="Z21">
        <v>0.17898414970994769</v>
      </c>
      <c r="AA21">
        <v>0.23080647357891659</v>
      </c>
      <c r="AB21">
        <v>0.17898414970994769</v>
      </c>
      <c r="AC21">
        <v>0.23080647357891659</v>
      </c>
    </row>
    <row r="22" spans="1:29" ht="15" thickBot="1" x14ac:dyDescent="0.35">
      <c r="A22" s="2">
        <v>0.89948576606136443</v>
      </c>
      <c r="B22" s="2">
        <v>0.82071530506317469</v>
      </c>
      <c r="C22" s="2">
        <f t="shared" si="6"/>
        <v>0.73822173489303611</v>
      </c>
      <c r="D22" s="2">
        <f t="shared" si="2"/>
        <v>0.80907464334699963</v>
      </c>
      <c r="E22" s="2">
        <f t="shared" si="0"/>
        <v>0.75820562702496963</v>
      </c>
      <c r="F22" s="2">
        <f t="shared" si="3"/>
        <v>-6.2509678038205063E-2</v>
      </c>
      <c r="G22" s="2">
        <f t="shared" si="4"/>
        <v>3.9074598484400563E-3</v>
      </c>
      <c r="L22" s="2">
        <v>0.53074389682164513</v>
      </c>
      <c r="M22" s="2">
        <f t="shared" si="1"/>
        <v>-0.28997140824152956</v>
      </c>
      <c r="N22" s="2">
        <f t="shared" si="5"/>
        <v>8.4083417597575802E-2</v>
      </c>
      <c r="U22" s="3">
        <v>0.47461267833281184</v>
      </c>
      <c r="V22" s="3">
        <v>0.61569968343768733</v>
      </c>
      <c r="W22" s="3">
        <v>2.1293210627278774E-2</v>
      </c>
      <c r="X22" s="3">
        <v>28.915305174735522</v>
      </c>
      <c r="Y22" s="3">
        <v>1.7692539757789105E-49</v>
      </c>
      <c r="Z22" s="3">
        <v>0.57343855460104776</v>
      </c>
      <c r="AA22" s="3">
        <v>0.6579608122743269</v>
      </c>
      <c r="AB22" s="3">
        <v>0.57343855460104776</v>
      </c>
      <c r="AC22" s="3">
        <v>0.6579608122743269</v>
      </c>
    </row>
    <row r="23" spans="1:29" x14ac:dyDescent="0.3">
      <c r="A23" s="2">
        <v>0.10526791435160987</v>
      </c>
      <c r="B23" s="2">
        <v>0.23724499811961441</v>
      </c>
      <c r="C23" s="2">
        <f t="shared" si="6"/>
        <v>2.4974286142403414E-2</v>
      </c>
      <c r="D23" s="2">
        <f t="shared" si="2"/>
        <v>1.1081333791937872E-2</v>
      </c>
      <c r="E23" s="2">
        <f t="shared" si="0"/>
        <v>0.26890000858115115</v>
      </c>
      <c r="F23" s="2">
        <f t="shared" si="3"/>
        <v>3.1655010461536737E-2</v>
      </c>
      <c r="G23" s="2">
        <f t="shared" si="4"/>
        <v>1.0020396873200003E-3</v>
      </c>
      <c r="L23" s="2">
        <v>0.53074389682164513</v>
      </c>
      <c r="M23" s="2">
        <f t="shared" si="1"/>
        <v>0.29349889870203072</v>
      </c>
      <c r="N23" s="2">
        <f t="shared" si="5"/>
        <v>8.614160353930489E-2</v>
      </c>
    </row>
    <row r="24" spans="1:29" x14ac:dyDescent="0.3">
      <c r="A24" s="2">
        <v>0.60111915205119459</v>
      </c>
      <c r="B24" s="2">
        <v>0.57958504433401936</v>
      </c>
      <c r="C24" s="2">
        <f t="shared" si="6"/>
        <v>0.34839967039161973</v>
      </c>
      <c r="D24" s="2">
        <f t="shared" si="2"/>
        <v>0.3613442349627472</v>
      </c>
      <c r="E24" s="2">
        <f t="shared" si="0"/>
        <v>0.57438646421347084</v>
      </c>
      <c r="F24" s="2">
        <f t="shared" si="3"/>
        <v>-5.1985801205485238E-3</v>
      </c>
      <c r="G24" s="2">
        <f t="shared" si="4"/>
        <v>2.7025235269762303E-5</v>
      </c>
      <c r="L24" s="2">
        <v>0.53074389682164513</v>
      </c>
      <c r="M24" s="2">
        <f t="shared" si="1"/>
        <v>-4.8841147512374228E-2</v>
      </c>
      <c r="N24" s="2">
        <f t="shared" si="5"/>
        <v>2.3854576903254991E-3</v>
      </c>
      <c r="P24" s="6"/>
      <c r="Q24" s="6"/>
      <c r="R24" s="6"/>
      <c r="S24" s="6"/>
      <c r="T24" s="6"/>
    </row>
    <row r="25" spans="1:29" x14ac:dyDescent="0.3">
      <c r="A25" s="2">
        <v>0.89814676899681289</v>
      </c>
      <c r="B25" s="2">
        <v>0.74850171721692704</v>
      </c>
      <c r="C25" s="2">
        <f t="shared" si="6"/>
        <v>0.67226439890694911</v>
      </c>
      <c r="D25" s="2">
        <f t="shared" si="2"/>
        <v>0.80666761865941439</v>
      </c>
      <c r="E25" s="2">
        <f t="shared" si="0"/>
        <v>0.75738069116467088</v>
      </c>
      <c r="F25" s="2">
        <f t="shared" si="3"/>
        <v>8.8789739477438401E-3</v>
      </c>
      <c r="G25" s="2">
        <f t="shared" si="4"/>
        <v>7.8836178364713829E-5</v>
      </c>
      <c r="L25" s="2">
        <v>0.53074389682164513</v>
      </c>
      <c r="M25" s="2">
        <f t="shared" si="1"/>
        <v>-0.21775782039528191</v>
      </c>
      <c r="N25" s="2">
        <f t="shared" si="5"/>
        <v>4.7418468343303856E-2</v>
      </c>
    </row>
    <row r="26" spans="1:29" x14ac:dyDescent="0.3">
      <c r="A26" s="2">
        <v>0.21785024389596419</v>
      </c>
      <c r="B26" s="2">
        <v>0.3982286802703412</v>
      </c>
      <c r="C26" s="2">
        <f t="shared" si="6"/>
        <v>8.6754215123261771E-2</v>
      </c>
      <c r="D26" s="2">
        <f t="shared" si="2"/>
        <v>4.7458728765531082E-2</v>
      </c>
      <c r="E26" s="2">
        <f t="shared" si="0"/>
        <v>0.33826028078474996</v>
      </c>
      <c r="F26" s="2">
        <f t="shared" si="3"/>
        <v>-5.9968399485591239E-2</v>
      </c>
      <c r="G26" s="2">
        <f t="shared" si="4"/>
        <v>3.5962089368634597E-3</v>
      </c>
      <c r="L26" s="2">
        <v>0.53074389682164513</v>
      </c>
      <c r="M26" s="2">
        <f t="shared" si="1"/>
        <v>0.13251521655130394</v>
      </c>
      <c r="N26" s="2">
        <f t="shared" si="5"/>
        <v>1.7560282617638978E-2</v>
      </c>
      <c r="U26" t="s">
        <v>42</v>
      </c>
      <c r="Y26" t="s">
        <v>46</v>
      </c>
    </row>
    <row r="27" spans="1:29" ht="15" thickBot="1" x14ac:dyDescent="0.35">
      <c r="A27" s="2">
        <v>0.80412804634704094</v>
      </c>
      <c r="B27" s="2">
        <v>0.64716941986068943</v>
      </c>
      <c r="C27" s="2">
        <f t="shared" si="6"/>
        <v>0.52040708124812407</v>
      </c>
      <c r="D27" s="2">
        <f t="shared" si="2"/>
        <v>0.64662191492190879</v>
      </c>
      <c r="E27" s="2">
        <f t="shared" si="0"/>
        <v>0.69945717668761709</v>
      </c>
      <c r="F27" s="2">
        <f t="shared" si="3"/>
        <v>5.2287756826927656E-2</v>
      </c>
      <c r="G27" s="2">
        <f t="shared" si="4"/>
        <v>2.7340095139919197E-3</v>
      </c>
      <c r="L27" s="2">
        <v>0.53074389682164513</v>
      </c>
      <c r="M27" s="2">
        <f t="shared" si="1"/>
        <v>-0.1164255230390443</v>
      </c>
      <c r="N27" s="2">
        <f t="shared" si="5"/>
        <v>1.3554902414915035E-2</v>
      </c>
    </row>
    <row r="28" spans="1:29" x14ac:dyDescent="0.3">
      <c r="A28" s="2">
        <v>5.2182628990731006E-2</v>
      </c>
      <c r="B28" s="2">
        <v>0.31236087166255921</v>
      </c>
      <c r="C28" s="2">
        <f t="shared" si="6"/>
        <v>1.6299811477188668E-2</v>
      </c>
      <c r="D28" s="2">
        <f t="shared" si="2"/>
        <v>2.7230267683842802E-3</v>
      </c>
      <c r="E28" s="2">
        <f t="shared" si="0"/>
        <v>0.23619496634638668</v>
      </c>
      <c r="F28" s="2">
        <f t="shared" si="3"/>
        <v>-7.6165905316172539E-2</v>
      </c>
      <c r="G28" s="2">
        <f t="shared" si="4"/>
        <v>5.8012451326321605E-3</v>
      </c>
      <c r="L28" s="2">
        <v>0.53074389682164513</v>
      </c>
      <c r="M28" s="2">
        <f t="shared" si="1"/>
        <v>0.21838302515908592</v>
      </c>
      <c r="N28" s="2">
        <f t="shared" si="5"/>
        <v>4.7691145677633953E-2</v>
      </c>
      <c r="U28" s="4" t="s">
        <v>43</v>
      </c>
      <c r="V28" s="4" t="s">
        <v>44</v>
      </c>
      <c r="W28" s="4" t="s">
        <v>45</v>
      </c>
      <c r="Y28" s="4" t="s">
        <v>47</v>
      </c>
      <c r="Z28" s="4">
        <v>0.43261352817168947</v>
      </c>
    </row>
    <row r="29" spans="1:29" x14ac:dyDescent="0.3">
      <c r="A29" s="2">
        <v>0.34701188639554448</v>
      </c>
      <c r="B29" s="2">
        <v>0.44397234580704692</v>
      </c>
      <c r="C29" s="2">
        <f t="shared" si="6"/>
        <v>0.15406368122595834</v>
      </c>
      <c r="D29" s="2">
        <f t="shared" si="2"/>
        <v>0.12041724929979426</v>
      </c>
      <c r="E29" s="2">
        <f t="shared" si="0"/>
        <v>0.41783481719994586</v>
      </c>
      <c r="F29" s="2">
        <f t="shared" si="3"/>
        <v>-2.6137528607101057E-2</v>
      </c>
      <c r="G29" s="2">
        <f t="shared" si="4"/>
        <v>6.8317040168702618E-4</v>
      </c>
      <c r="L29" s="2">
        <v>0.53074389682164513</v>
      </c>
      <c r="M29" s="2">
        <f t="shared" si="1"/>
        <v>8.6771551014598214E-2</v>
      </c>
      <c r="N29" s="2">
        <f t="shared" si="5"/>
        <v>7.5293020654790205E-3</v>
      </c>
      <c r="U29">
        <v>1</v>
      </c>
      <c r="V29">
        <v>0.6637277183788115</v>
      </c>
      <c r="W29">
        <v>1.8830662679573229E-2</v>
      </c>
      <c r="Y29">
        <v>0.50505050505050508</v>
      </c>
      <c r="Z29">
        <v>0.11219625656864281</v>
      </c>
    </row>
    <row r="30" spans="1:29" x14ac:dyDescent="0.3">
      <c r="A30" s="2">
        <v>0.30319294777500083</v>
      </c>
      <c r="B30" s="2">
        <v>0.40420326051101885</v>
      </c>
      <c r="C30" s="2">
        <f t="shared" si="6"/>
        <v>0.12255157805460239</v>
      </c>
      <c r="D30" s="2">
        <f t="shared" si="2"/>
        <v>9.1925963580494388E-2</v>
      </c>
      <c r="E30" s="2">
        <f t="shared" si="0"/>
        <v>0.3908386311848368</v>
      </c>
      <c r="F30" s="2">
        <f t="shared" si="3"/>
        <v>-1.3364629326182043E-2</v>
      </c>
      <c r="G30" s="2">
        <f t="shared" si="4"/>
        <v>1.7861331702624506E-4</v>
      </c>
      <c r="L30" s="2">
        <v>0.53074389682164513</v>
      </c>
      <c r="M30" s="2">
        <f t="shared" si="1"/>
        <v>0.12654063631062629</v>
      </c>
      <c r="N30" s="2">
        <f t="shared" si="5"/>
        <v>1.6012532637898192E-2</v>
      </c>
      <c r="U30">
        <v>2</v>
      </c>
      <c r="V30">
        <v>0.68740453748173169</v>
      </c>
      <c r="W30">
        <v>0.12419267935315825</v>
      </c>
      <c r="Y30">
        <v>1.5151515151515151</v>
      </c>
      <c r="Z30">
        <v>0.13167173308608576</v>
      </c>
    </row>
    <row r="31" spans="1:29" x14ac:dyDescent="0.3">
      <c r="A31" s="2">
        <v>0.12077732837950161</v>
      </c>
      <c r="B31" s="2">
        <v>0.34675238240852235</v>
      </c>
      <c r="C31" s="2">
        <f t="shared" si="6"/>
        <v>4.1879826356528621E-2</v>
      </c>
      <c r="D31" s="2">
        <f t="shared" si="2"/>
        <v>1.4587163050489967E-2</v>
      </c>
      <c r="E31" s="2">
        <f t="shared" si="0"/>
        <v>0.27845512422893204</v>
      </c>
      <c r="F31" s="2">
        <f t="shared" si="3"/>
        <v>-6.8297258179590314E-2</v>
      </c>
      <c r="G31" s="2">
        <f t="shared" si="4"/>
        <v>4.6645154748496164E-3</v>
      </c>
      <c r="L31" s="2">
        <v>0.53074389682164513</v>
      </c>
      <c r="M31" s="2">
        <f t="shared" si="1"/>
        <v>0.18399151441312278</v>
      </c>
      <c r="N31" s="2">
        <f t="shared" si="5"/>
        <v>3.3852877376034367E-2</v>
      </c>
      <c r="U31">
        <v>3</v>
      </c>
      <c r="V31">
        <v>0.52151480789950466</v>
      </c>
      <c r="W31">
        <v>-7.2226541911453612E-2</v>
      </c>
      <c r="Y31">
        <v>2.5252525252525255</v>
      </c>
      <c r="Z31">
        <v>0.1862403115338091</v>
      </c>
    </row>
    <row r="32" spans="1:29" x14ac:dyDescent="0.3">
      <c r="A32" s="2">
        <v>0.68691773830175284</v>
      </c>
      <c r="B32" s="2">
        <v>0.53618150477829141</v>
      </c>
      <c r="C32" s="2">
        <f t="shared" si="6"/>
        <v>0.36831258658153443</v>
      </c>
      <c r="D32" s="2">
        <f t="shared" si="2"/>
        <v>0.4718559791935954</v>
      </c>
      <c r="E32" s="2">
        <f t="shared" si="0"/>
        <v>0.62724567685463517</v>
      </c>
      <c r="F32" s="2">
        <f t="shared" si="3"/>
        <v>9.1064172076343763E-2</v>
      </c>
      <c r="G32" s="2">
        <f t="shared" si="4"/>
        <v>8.2926834359499466E-3</v>
      </c>
      <c r="L32" s="2">
        <v>0.53074389682164513</v>
      </c>
      <c r="M32" s="2">
        <f t="shared" si="1"/>
        <v>-5.4376079566462732E-3</v>
      </c>
      <c r="N32" s="2">
        <f t="shared" si="5"/>
        <v>2.9567580290182859E-5</v>
      </c>
      <c r="U32">
        <v>4</v>
      </c>
      <c r="V32">
        <v>0.77449070868398828</v>
      </c>
      <c r="W32">
        <v>9.345059559989255E-2</v>
      </c>
      <c r="Y32">
        <v>3.5353535353535355</v>
      </c>
      <c r="Z32">
        <v>0.19999212692780516</v>
      </c>
    </row>
    <row r="33" spans="1:26" x14ac:dyDescent="0.3">
      <c r="A33" s="2">
        <v>0.90557687916141583</v>
      </c>
      <c r="B33" s="2">
        <v>0.64908190852237502</v>
      </c>
      <c r="C33" s="2">
        <f t="shared" si="6"/>
        <v>0.58779356903982793</v>
      </c>
      <c r="D33" s="2">
        <f t="shared" si="2"/>
        <v>0.82006948407172953</v>
      </c>
      <c r="E33" s="2">
        <f t="shared" si="0"/>
        <v>0.7619582697740791</v>
      </c>
      <c r="F33" s="2">
        <f t="shared" si="3"/>
        <v>0.11287636125170408</v>
      </c>
      <c r="G33" s="2">
        <f t="shared" si="4"/>
        <v>1.2741072929425203E-2</v>
      </c>
      <c r="L33" s="2">
        <v>0.53074389682164513</v>
      </c>
      <c r="M33" s="2">
        <f t="shared" si="1"/>
        <v>-0.11833801170072988</v>
      </c>
      <c r="N33" s="2">
        <f t="shared" si="5"/>
        <v>1.4003885013282083E-2</v>
      </c>
      <c r="U33">
        <v>5</v>
      </c>
      <c r="V33">
        <v>0.24360346521817267</v>
      </c>
      <c r="W33">
        <v>5.3814486681535878E-2</v>
      </c>
      <c r="Y33">
        <v>4.5454545454545459</v>
      </c>
      <c r="Z33">
        <v>0.22749538465698904</v>
      </c>
    </row>
    <row r="34" spans="1:26" x14ac:dyDescent="0.3">
      <c r="A34" s="2">
        <v>0.3608840837588716</v>
      </c>
      <c r="B34" s="2">
        <v>0.37524509358982872</v>
      </c>
      <c r="C34" s="2">
        <f t="shared" si="6"/>
        <v>0.13541998178517736</v>
      </c>
      <c r="D34" s="2">
        <f t="shared" si="2"/>
        <v>0.13023732191048026</v>
      </c>
      <c r="E34" s="2">
        <f t="shared" ref="E34:E65" si="7">J$9*A34+J$10</f>
        <v>0.42638126839771884</v>
      </c>
      <c r="F34" s="2">
        <f t="shared" si="3"/>
        <v>5.1136174807890122E-2</v>
      </c>
      <c r="G34" s="2">
        <f t="shared" si="4"/>
        <v>2.6149083739830962E-3</v>
      </c>
      <c r="L34" s="2">
        <v>0.53074389682164513</v>
      </c>
      <c r="M34" s="2">
        <f t="shared" ref="M34:M65" si="8">J$4-B34</f>
        <v>0.15549880323181642</v>
      </c>
      <c r="N34" s="2">
        <f t="shared" si="5"/>
        <v>2.417987780652716E-2</v>
      </c>
      <c r="U34">
        <v>6</v>
      </c>
      <c r="V34">
        <v>0.73473783604871179</v>
      </c>
      <c r="W34">
        <v>2.928970526432273E-2</v>
      </c>
      <c r="Y34">
        <v>5.5555555555555562</v>
      </c>
      <c r="Z34">
        <v>0.23224960445334369</v>
      </c>
    </row>
    <row r="35" spans="1:26" x14ac:dyDescent="0.3">
      <c r="A35" s="2">
        <v>0.26058154953358714</v>
      </c>
      <c r="B35" s="2">
        <v>0.43375769225290267</v>
      </c>
      <c r="C35" s="2">
        <f t="shared" si="6"/>
        <v>0.11302925156937421</v>
      </c>
      <c r="D35" s="2">
        <f t="shared" si="2"/>
        <v>6.7902743957325332E-2</v>
      </c>
      <c r="E35" s="2">
        <f t="shared" si="7"/>
        <v>0.36458639255234337</v>
      </c>
      <c r="F35" s="2">
        <f t="shared" si="3"/>
        <v>-6.9171299700559297E-2</v>
      </c>
      <c r="G35" s="2">
        <f t="shared" si="4"/>
        <v>4.7846687022645943E-3</v>
      </c>
      <c r="L35" s="2">
        <v>0.53074389682164513</v>
      </c>
      <c r="M35" s="2">
        <f t="shared" si="8"/>
        <v>9.6986204568742462E-2</v>
      </c>
      <c r="N35" s="2">
        <f t="shared" si="5"/>
        <v>9.4063238766499621E-3</v>
      </c>
      <c r="U35">
        <v>7</v>
      </c>
      <c r="V35">
        <v>0.77436284062325456</v>
      </c>
      <c r="W35">
        <v>-2.4885103230442907E-2</v>
      </c>
      <c r="Y35">
        <v>6.5656565656565657</v>
      </c>
      <c r="Z35">
        <v>0.23724499811961441</v>
      </c>
    </row>
    <row r="36" spans="1:26" x14ac:dyDescent="0.3">
      <c r="A36" s="2">
        <v>0.62960827766149974</v>
      </c>
      <c r="B36" s="2">
        <v>0.49173214662897324</v>
      </c>
      <c r="C36" s="2">
        <f t="shared" si="6"/>
        <v>0.30959862990985987</v>
      </c>
      <c r="D36" s="2">
        <f t="shared" si="2"/>
        <v>0.39640658329988016</v>
      </c>
      <c r="E36" s="2">
        <f t="shared" si="7"/>
        <v>0.59193818405414778</v>
      </c>
      <c r="F36" s="2">
        <f t="shared" si="3"/>
        <v>0.10020603742517453</v>
      </c>
      <c r="G36" s="2">
        <f t="shared" si="4"/>
        <v>1.0041249936455479E-2</v>
      </c>
      <c r="L36" s="2">
        <v>0.53074389682164513</v>
      </c>
      <c r="M36" s="2">
        <f t="shared" si="8"/>
        <v>3.901175019267189E-2</v>
      </c>
      <c r="N36" s="2">
        <f t="shared" si="5"/>
        <v>1.5219166530954353E-3</v>
      </c>
      <c r="U36">
        <v>8</v>
      </c>
      <c r="V36">
        <v>0.78340043271035187</v>
      </c>
      <c r="W36">
        <v>-6.8251086825960372E-2</v>
      </c>
      <c r="Y36">
        <v>7.5757575757575761</v>
      </c>
      <c r="Z36">
        <v>0.25205953656697822</v>
      </c>
    </row>
    <row r="37" spans="1:26" x14ac:dyDescent="0.3">
      <c r="A37" s="2">
        <v>0.83698648622291949</v>
      </c>
      <c r="B37" s="2">
        <v>0.84620067172306823</v>
      </c>
      <c r="C37" s="2">
        <f t="shared" si="6"/>
        <v>0.70825852686496504</v>
      </c>
      <c r="D37" s="2">
        <f t="shared" si="2"/>
        <v>0.70054637811978937</v>
      </c>
      <c r="E37" s="2">
        <f t="shared" si="7"/>
        <v>0.71970076503048075</v>
      </c>
      <c r="F37" s="2">
        <f t="shared" si="3"/>
        <v>-0.12649990669258748</v>
      </c>
      <c r="G37" s="2">
        <f t="shared" si="4"/>
        <v>1.600222639323334E-2</v>
      </c>
      <c r="L37" s="2">
        <v>0.53074389682164513</v>
      </c>
      <c r="M37" s="2">
        <f t="shared" si="8"/>
        <v>-0.3154567749014231</v>
      </c>
      <c r="N37" s="2">
        <f t="shared" si="5"/>
        <v>9.951297683120712E-2</v>
      </c>
      <c r="U37">
        <v>9</v>
      </c>
      <c r="V37">
        <v>0.50719957027226714</v>
      </c>
      <c r="W37">
        <v>4.5574979299049301E-2</v>
      </c>
      <c r="Y37">
        <v>8.5858585858585865</v>
      </c>
      <c r="Z37">
        <v>0.25772840172413225</v>
      </c>
    </row>
    <row r="38" spans="1:26" x14ac:dyDescent="0.3">
      <c r="A38" s="2">
        <v>0.96827460859766834</v>
      </c>
      <c r="B38" s="2">
        <v>0.73627973022094784</v>
      </c>
      <c r="C38" s="2">
        <f t="shared" si="6"/>
        <v>0.7129209675980851</v>
      </c>
      <c r="D38" s="2">
        <f t="shared" si="2"/>
        <v>0.93755571765496781</v>
      </c>
      <c r="E38" s="2">
        <f t="shared" si="7"/>
        <v>0.80058539356736302</v>
      </c>
      <c r="F38" s="2">
        <f t="shared" si="3"/>
        <v>6.4305663346415187E-2</v>
      </c>
      <c r="G38" s="2">
        <f t="shared" si="4"/>
        <v>4.1352183384224857E-3</v>
      </c>
      <c r="L38" s="2">
        <v>0.53074389682164513</v>
      </c>
      <c r="M38" s="2">
        <f t="shared" si="8"/>
        <v>-0.2055358333993027</v>
      </c>
      <c r="N38" s="2">
        <f t="shared" si="5"/>
        <v>4.2244978811145917E-2</v>
      </c>
      <c r="U38">
        <v>10</v>
      </c>
      <c r="V38">
        <v>0.54908250493625765</v>
      </c>
      <c r="W38">
        <v>-3.6436640673118248E-2</v>
      </c>
      <c r="Y38">
        <v>9.5959595959595969</v>
      </c>
      <c r="Z38">
        <v>0.26381590243427799</v>
      </c>
    </row>
    <row r="39" spans="1:26" x14ac:dyDescent="0.3">
      <c r="A39" s="2">
        <v>0.66549198827793632</v>
      </c>
      <c r="B39" s="2">
        <v>0.72127953292732239</v>
      </c>
      <c r="C39" s="2">
        <f t="shared" si="6"/>
        <v>0.48000575047198502</v>
      </c>
      <c r="D39" s="2">
        <f t="shared" si="2"/>
        <v>0.44287958646212094</v>
      </c>
      <c r="E39" s="2">
        <f t="shared" si="7"/>
        <v>0.61404559599085551</v>
      </c>
      <c r="F39" s="2">
        <f t="shared" si="3"/>
        <v>-0.10723393693646688</v>
      </c>
      <c r="G39" s="2">
        <f t="shared" si="4"/>
        <v>1.1499117230894156E-2</v>
      </c>
      <c r="L39" s="2">
        <v>0.53074389682164513</v>
      </c>
      <c r="M39" s="2">
        <f t="shared" si="8"/>
        <v>-0.19053563610567725</v>
      </c>
      <c r="N39" s="2">
        <f t="shared" si="5"/>
        <v>3.6303828626195064E-2</v>
      </c>
      <c r="U39">
        <v>11</v>
      </c>
      <c r="V39">
        <v>0.37604393718013507</v>
      </c>
      <c r="W39">
        <v>6.838735764773074E-2</v>
      </c>
      <c r="Y39">
        <v>10.606060606060607</v>
      </c>
      <c r="Z39">
        <v>0.27047234402558801</v>
      </c>
    </row>
    <row r="40" spans="1:26" x14ac:dyDescent="0.3">
      <c r="A40" s="2">
        <v>0.97703718225851299</v>
      </c>
      <c r="B40" s="2">
        <v>0.88956105778770467</v>
      </c>
      <c r="C40" s="2">
        <f t="shared" si="6"/>
        <v>0.86913422934780127</v>
      </c>
      <c r="D40" s="2">
        <f t="shared" si="2"/>
        <v>0.95460165551565479</v>
      </c>
      <c r="E40" s="2">
        <f t="shared" si="7"/>
        <v>0.8059838828043514</v>
      </c>
      <c r="F40" s="2">
        <f t="shared" si="3"/>
        <v>-8.3577174983353264E-2</v>
      </c>
      <c r="G40" s="2">
        <f t="shared" si="4"/>
        <v>6.9851441781980505E-3</v>
      </c>
      <c r="L40" s="2">
        <v>0.53074389682164513</v>
      </c>
      <c r="M40" s="2">
        <f t="shared" si="8"/>
        <v>-0.35881716096605953</v>
      </c>
      <c r="N40" s="2">
        <f t="shared" si="5"/>
        <v>0.12874975500374308</v>
      </c>
      <c r="U40">
        <v>12</v>
      </c>
      <c r="V40">
        <v>0.50946073410365755</v>
      </c>
      <c r="W40">
        <v>3.0091195398267989E-2</v>
      </c>
      <c r="Y40">
        <v>11.616161616161618</v>
      </c>
      <c r="Z40">
        <v>0.29741795189970854</v>
      </c>
    </row>
    <row r="41" spans="1:26" x14ac:dyDescent="0.3">
      <c r="A41" s="2">
        <v>0.41721564724490812</v>
      </c>
      <c r="B41" s="2">
        <v>0.43070938875103626</v>
      </c>
      <c r="C41" s="2">
        <f t="shared" si="6"/>
        <v>0.17969869640222233</v>
      </c>
      <c r="D41" s="2">
        <f t="shared" si="2"/>
        <v>0.1740688963059876</v>
      </c>
      <c r="E41" s="2">
        <f t="shared" si="7"/>
        <v>0.4610862935367348</v>
      </c>
      <c r="F41" s="2">
        <f t="shared" si="3"/>
        <v>3.0376904785698544E-2</v>
      </c>
      <c r="G41" s="2">
        <f t="shared" si="4"/>
        <v>9.2275634435939511E-4</v>
      </c>
      <c r="L41" s="2">
        <v>0.53074389682164513</v>
      </c>
      <c r="M41" s="2">
        <f t="shared" si="8"/>
        <v>0.10003450807060887</v>
      </c>
      <c r="N41" s="2">
        <f t="shared" si="5"/>
        <v>1.0006902804928712E-2</v>
      </c>
      <c r="U41">
        <v>13</v>
      </c>
      <c r="V41">
        <v>0.33956943972379305</v>
      </c>
      <c r="W41">
        <v>4.708016641448054E-2</v>
      </c>
      <c r="Y41">
        <v>12.626262626262626</v>
      </c>
      <c r="Z41">
        <v>0.2997489928842863</v>
      </c>
    </row>
    <row r="42" spans="1:26" x14ac:dyDescent="0.3">
      <c r="A42" s="2">
        <v>1.0299258527148969E-2</v>
      </c>
      <c r="B42" s="2">
        <v>0.11219625656864281</v>
      </c>
      <c r="C42" s="2">
        <f t="shared" si="6"/>
        <v>1.1555382521787881E-3</v>
      </c>
      <c r="D42" s="2">
        <f t="shared" si="2"/>
        <v>1.0607472620905075E-4</v>
      </c>
      <c r="E42" s="2">
        <f t="shared" si="7"/>
        <v>0.21039125462789968</v>
      </c>
      <c r="F42" s="2">
        <f t="shared" si="3"/>
        <v>9.8194998059256869E-2</v>
      </c>
      <c r="G42" s="2">
        <f t="shared" si="4"/>
        <v>9.64225764385746E-3</v>
      </c>
      <c r="L42" s="2">
        <v>0.53074389682164513</v>
      </c>
      <c r="M42" s="2">
        <f t="shared" si="8"/>
        <v>0.41854764025300234</v>
      </c>
      <c r="N42" s="2">
        <f t="shared" si="5"/>
        <v>0.17518212716135667</v>
      </c>
      <c r="U42">
        <v>14</v>
      </c>
      <c r="V42">
        <v>0.50404577994980393</v>
      </c>
      <c r="W42">
        <v>-9.3027888784179225E-2</v>
      </c>
      <c r="Y42">
        <v>13.636363636363637</v>
      </c>
      <c r="Z42">
        <v>0.30736946927796149</v>
      </c>
    </row>
    <row r="43" spans="1:26" x14ac:dyDescent="0.3">
      <c r="A43" s="2">
        <v>7.8790750021327072E-2</v>
      </c>
      <c r="B43" s="2">
        <v>0.1862403115338091</v>
      </c>
      <c r="C43" s="2">
        <f t="shared" si="6"/>
        <v>1.4674013829954429E-2</v>
      </c>
      <c r="D43" s="2">
        <f t="shared" si="2"/>
        <v>6.2079822889232516E-3</v>
      </c>
      <c r="E43" s="2">
        <f t="shared" si="7"/>
        <v>0.25258782768597504</v>
      </c>
      <c r="F43" s="2">
        <f t="shared" si="3"/>
        <v>6.6347516152165942E-2</v>
      </c>
      <c r="G43" s="2">
        <f t="shared" si="4"/>
        <v>4.4019928995619202E-3</v>
      </c>
      <c r="L43" s="2">
        <v>0.53074389682164513</v>
      </c>
      <c r="M43" s="2">
        <f t="shared" si="8"/>
        <v>0.34450358528783603</v>
      </c>
      <c r="N43" s="2">
        <f t="shared" si="5"/>
        <v>0.11868272027617331</v>
      </c>
      <c r="U43">
        <v>15</v>
      </c>
      <c r="V43">
        <v>0.61903104724971025</v>
      </c>
      <c r="W43">
        <v>5.981758786041047E-2</v>
      </c>
      <c r="Y43">
        <v>14.646464646464647</v>
      </c>
      <c r="Z43">
        <v>0.30815921310839012</v>
      </c>
    </row>
    <row r="44" spans="1:26" x14ac:dyDescent="0.3">
      <c r="A44" s="2">
        <v>0.94522302338630648</v>
      </c>
      <c r="B44" s="2">
        <v>0.91147759087987901</v>
      </c>
      <c r="C44" s="2">
        <f t="shared" si="6"/>
        <v>0.86154960420034621</v>
      </c>
      <c r="D44" s="2">
        <f t="shared" si="2"/>
        <v>0.89344656393955013</v>
      </c>
      <c r="E44" s="2">
        <f t="shared" si="7"/>
        <v>0.78638366020960193</v>
      </c>
      <c r="F44" s="2">
        <f t="shared" si="3"/>
        <v>-0.12509393067027708</v>
      </c>
      <c r="G44" s="2">
        <f t="shared" si="4"/>
        <v>1.5648491490540088E-2</v>
      </c>
      <c r="L44" s="2">
        <v>0.53074389682164513</v>
      </c>
      <c r="M44" s="2">
        <f t="shared" si="8"/>
        <v>-0.38073369405823387</v>
      </c>
      <c r="N44" s="2">
        <f t="shared" si="5"/>
        <v>0.14495814579122884</v>
      </c>
      <c r="U44">
        <v>16</v>
      </c>
      <c r="V44">
        <v>0.75620092764526015</v>
      </c>
      <c r="W44">
        <v>-8.9979062806475274E-2</v>
      </c>
      <c r="Y44">
        <v>15.656565656565657</v>
      </c>
      <c r="Z44">
        <v>0.3083837318453353</v>
      </c>
    </row>
    <row r="45" spans="1:26" x14ac:dyDescent="0.3">
      <c r="A45" s="2">
        <v>0.91056158328068904</v>
      </c>
      <c r="B45" s="2">
        <v>0.6891019966363584</v>
      </c>
      <c r="C45" s="2">
        <f t="shared" si="6"/>
        <v>0.62746980509908656</v>
      </c>
      <c r="D45" s="2">
        <f t="shared" si="2"/>
        <v>0.82912239694663514</v>
      </c>
      <c r="E45" s="2">
        <f t="shared" si="7"/>
        <v>0.76502927066708315</v>
      </c>
      <c r="F45" s="2">
        <f t="shared" si="3"/>
        <v>7.5927274030724745E-2</v>
      </c>
      <c r="G45" s="2">
        <f t="shared" si="4"/>
        <v>5.764950941736768E-3</v>
      </c>
      <c r="L45" s="2">
        <v>0.53074389682164513</v>
      </c>
      <c r="M45" s="2">
        <f t="shared" si="8"/>
        <v>-0.15835809981471327</v>
      </c>
      <c r="N45" s="2">
        <f t="shared" si="5"/>
        <v>2.507728777692669E-2</v>
      </c>
      <c r="U45">
        <v>17</v>
      </c>
      <c r="V45">
        <v>0.75974785692527647</v>
      </c>
      <c r="W45">
        <v>-0.1076215625120418</v>
      </c>
      <c r="Y45">
        <v>16.666666666666668</v>
      </c>
      <c r="Z45">
        <v>0.31236087166255921</v>
      </c>
    </row>
    <row r="46" spans="1:26" x14ac:dyDescent="0.3">
      <c r="A46" s="2">
        <v>9.4138000062018667E-2</v>
      </c>
      <c r="B46" s="2">
        <v>0.2997489928842863</v>
      </c>
      <c r="C46" s="2">
        <f t="shared" si="6"/>
        <v>2.8217770710730977E-2</v>
      </c>
      <c r="D46" s="2">
        <f t="shared" si="2"/>
        <v>8.861963055676627E-3</v>
      </c>
      <c r="E46" s="2">
        <f t="shared" si="7"/>
        <v>0.2620430365514097</v>
      </c>
      <c r="F46" s="2">
        <f t="shared" si="3"/>
        <v>-3.77059563328766E-2</v>
      </c>
      <c r="G46" s="2">
        <f t="shared" si="4"/>
        <v>1.4217391429767971E-3</v>
      </c>
      <c r="L46" s="2">
        <v>0.53074389682164513</v>
      </c>
      <c r="M46" s="2">
        <f t="shared" si="8"/>
        <v>0.23099490393735883</v>
      </c>
      <c r="N46" s="2">
        <f t="shared" si="5"/>
        <v>5.3358645645029637E-2</v>
      </c>
      <c r="U46">
        <v>18</v>
      </c>
      <c r="V46">
        <v>0.55790681788910312</v>
      </c>
      <c r="W46">
        <v>-9.2818456454028031E-2</v>
      </c>
      <c r="Y46">
        <v>17.676767676767678</v>
      </c>
      <c r="Z46">
        <v>0.32092922264735685</v>
      </c>
    </row>
    <row r="47" spans="1:26" x14ac:dyDescent="0.3">
      <c r="A47" s="2">
        <v>0.72863515901828346</v>
      </c>
      <c r="B47" s="2">
        <v>0.59429426000280672</v>
      </c>
      <c r="C47" s="2">
        <f t="shared" si="6"/>
        <v>0.43302369264079815</v>
      </c>
      <c r="D47" s="2">
        <f t="shared" si="2"/>
        <v>0.53090919495759925</v>
      </c>
      <c r="E47" s="2">
        <f t="shared" si="7"/>
        <v>0.65294714944133136</v>
      </c>
      <c r="F47" s="2">
        <f t="shared" si="3"/>
        <v>5.8652889438524647E-2</v>
      </c>
      <c r="G47" s="2">
        <f t="shared" si="4"/>
        <v>3.4401614394877962E-3</v>
      </c>
      <c r="L47" s="2">
        <v>0.53074389682164513</v>
      </c>
      <c r="M47" s="2">
        <f t="shared" si="8"/>
        <v>-6.3550363181161584E-2</v>
      </c>
      <c r="N47" s="2">
        <f t="shared" si="5"/>
        <v>4.0386486604575382E-3</v>
      </c>
      <c r="U47">
        <v>19</v>
      </c>
      <c r="V47">
        <v>0.2130197539820336</v>
      </c>
      <c r="W47">
        <v>0.10790946866532325</v>
      </c>
      <c r="Y47">
        <v>18.686868686868689</v>
      </c>
      <c r="Z47">
        <v>0.33394306034970411</v>
      </c>
    </row>
    <row r="48" spans="1:26" x14ac:dyDescent="0.3">
      <c r="A48" s="2">
        <v>0.19138347066899153</v>
      </c>
      <c r="B48" s="2">
        <v>0.3083837318453353</v>
      </c>
      <c r="C48" s="2">
        <f t="shared" si="6"/>
        <v>5.9019548898415874E-2</v>
      </c>
      <c r="D48" s="2">
        <f t="shared" si="2"/>
        <v>3.662763284530874E-2</v>
      </c>
      <c r="E48" s="2">
        <f t="shared" si="7"/>
        <v>0.32195450169132206</v>
      </c>
      <c r="F48" s="2">
        <f t="shared" si="3"/>
        <v>1.3570769845986763E-2</v>
      </c>
      <c r="G48" s="2">
        <f t="shared" si="4"/>
        <v>1.8416579421274361E-4</v>
      </c>
      <c r="L48" s="2">
        <v>0.53074389682164513</v>
      </c>
      <c r="M48" s="2">
        <f t="shared" si="8"/>
        <v>0.22236016497630984</v>
      </c>
      <c r="N48" s="2">
        <f t="shared" si="5"/>
        <v>4.9444042968291725E-2</v>
      </c>
      <c r="U48">
        <v>20</v>
      </c>
      <c r="V48">
        <v>0.75870841306511982</v>
      </c>
      <c r="W48">
        <v>6.2006891998054869E-2</v>
      </c>
      <c r="Y48">
        <v>19.696969696969699</v>
      </c>
      <c r="Z48">
        <v>0.33652183987236295</v>
      </c>
    </row>
    <row r="49" spans="1:26" x14ac:dyDescent="0.3">
      <c r="A49" s="2">
        <v>0.56492570581543267</v>
      </c>
      <c r="B49" s="2">
        <v>0.49220889984896032</v>
      </c>
      <c r="C49" s="2">
        <f t="shared" si="6"/>
        <v>0.27806146015581151</v>
      </c>
      <c r="D49" s="2">
        <f t="shared" si="2"/>
        <v>0.31914105309106477</v>
      </c>
      <c r="E49" s="2">
        <f t="shared" si="7"/>
        <v>0.55208822884155351</v>
      </c>
      <c r="F49" s="2">
        <f t="shared" si="3"/>
        <v>5.9879328992593184E-2</v>
      </c>
      <c r="G49" s="2">
        <f t="shared" si="4"/>
        <v>3.5855340406032105E-3</v>
      </c>
      <c r="L49" s="2">
        <v>0.53074389682164513</v>
      </c>
      <c r="M49" s="2">
        <f t="shared" si="8"/>
        <v>3.853499697268481E-2</v>
      </c>
      <c r="N49" s="2">
        <f t="shared" si="5"/>
        <v>1.4849459916848275E-3</v>
      </c>
      <c r="U49">
        <v>21</v>
      </c>
      <c r="V49">
        <v>0.26970873318686395</v>
      </c>
      <c r="W49">
        <v>-3.2463735067249533E-2</v>
      </c>
      <c r="Y49">
        <v>20.707070707070709</v>
      </c>
      <c r="Z49">
        <v>0.33876499517480929</v>
      </c>
    </row>
    <row r="50" spans="1:26" x14ac:dyDescent="0.3">
      <c r="A50" s="2">
        <v>0.33617368343396137</v>
      </c>
      <c r="B50" s="2">
        <v>0.33652183987236295</v>
      </c>
      <c r="C50" s="2">
        <f t="shared" si="6"/>
        <v>0.11312978646586598</v>
      </c>
      <c r="D50" s="2">
        <f t="shared" si="2"/>
        <v>0.11301274543355727</v>
      </c>
      <c r="E50" s="2">
        <f t="shared" si="7"/>
        <v>0.4111575641118661</v>
      </c>
      <c r="F50" s="2">
        <f t="shared" si="3"/>
        <v>7.4635724239503154E-2</v>
      </c>
      <c r="G50" s="2">
        <f t="shared" si="4"/>
        <v>5.5704913327551588E-3</v>
      </c>
      <c r="L50" s="2">
        <v>0.53074389682164513</v>
      </c>
      <c r="M50" s="2">
        <f t="shared" si="8"/>
        <v>0.19422205694928218</v>
      </c>
      <c r="N50" s="2">
        <f t="shared" si="5"/>
        <v>3.7722207405610213E-2</v>
      </c>
      <c r="U50">
        <v>22</v>
      </c>
      <c r="V50">
        <v>0.5750041832706837</v>
      </c>
      <c r="W50">
        <v>4.5808610633356617E-3</v>
      </c>
      <c r="Y50">
        <v>21.71717171717172</v>
      </c>
      <c r="Z50">
        <v>0.34675238240852235</v>
      </c>
    </row>
    <row r="51" spans="1:26" x14ac:dyDescent="0.3">
      <c r="A51" s="2">
        <v>0.76273205512628295</v>
      </c>
      <c r="B51" s="2">
        <v>0.70275148391952413</v>
      </c>
      <c r="C51" s="2">
        <f t="shared" si="6"/>
        <v>0.53601108357298366</v>
      </c>
      <c r="D51" s="2">
        <f t="shared" si="2"/>
        <v>0.58176018791716311</v>
      </c>
      <c r="E51" s="2">
        <f t="shared" si="7"/>
        <v>0.67395373195672459</v>
      </c>
      <c r="F51" s="2">
        <f t="shared" si="3"/>
        <v>-2.8797751962799545E-2</v>
      </c>
      <c r="G51" s="2">
        <f t="shared" si="4"/>
        <v>8.2931051811092503E-4</v>
      </c>
      <c r="L51" s="2">
        <v>0.53074389682164513</v>
      </c>
      <c r="M51" s="2">
        <f t="shared" si="8"/>
        <v>-0.172007587097879</v>
      </c>
      <c r="N51" s="2">
        <f t="shared" si="5"/>
        <v>2.9586610019234429E-2</v>
      </c>
      <c r="U51">
        <v>23</v>
      </c>
      <c r="V51">
        <v>0.75788399299635145</v>
      </c>
      <c r="W51">
        <v>-9.3822757794244094E-3</v>
      </c>
      <c r="Y51">
        <v>22.72727272727273</v>
      </c>
      <c r="Z51">
        <v>0.35653122715166752</v>
      </c>
    </row>
    <row r="52" spans="1:26" x14ac:dyDescent="0.3">
      <c r="A52" s="2">
        <v>0.50816971447729409</v>
      </c>
      <c r="B52" s="2">
        <v>0.49590623521970506</v>
      </c>
      <c r="C52" s="2">
        <f t="shared" si="6"/>
        <v>0.25200452995910738</v>
      </c>
      <c r="D52" s="2">
        <f t="shared" si="2"/>
        <v>0.25823645871193457</v>
      </c>
      <c r="E52" s="2">
        <f t="shared" si="7"/>
        <v>0.51712172011562174</v>
      </c>
      <c r="F52" s="2">
        <f t="shared" si="3"/>
        <v>2.1215484895916681E-2</v>
      </c>
      <c r="G52" s="2">
        <f t="shared" si="4"/>
        <v>4.5009679936886882E-4</v>
      </c>
      <c r="L52" s="2">
        <v>0.53074389682164513</v>
      </c>
      <c r="M52" s="2">
        <f t="shared" si="8"/>
        <v>3.4837661601940073E-2</v>
      </c>
      <c r="N52" s="2">
        <f t="shared" si="5"/>
        <v>1.2136626658912897E-3</v>
      </c>
      <c r="U52">
        <v>24</v>
      </c>
      <c r="V52">
        <v>0.33902563784800027</v>
      </c>
      <c r="W52">
        <v>5.9203042422340924E-2</v>
      </c>
      <c r="Y52">
        <v>23.737373737373741</v>
      </c>
      <c r="Z52">
        <v>0.36349865139940168</v>
      </c>
    </row>
    <row r="53" spans="1:26" x14ac:dyDescent="0.3">
      <c r="A53" s="2">
        <v>5.3946604725891412E-2</v>
      </c>
      <c r="B53" s="2">
        <v>0.25205953656697822</v>
      </c>
      <c r="C53" s="2">
        <f t="shared" si="6"/>
        <v>1.3597756186570146E-2</v>
      </c>
      <c r="D53" s="2">
        <f t="shared" si="2"/>
        <v>2.9102361614515696E-3</v>
      </c>
      <c r="E53" s="2">
        <f t="shared" si="7"/>
        <v>0.23728172514456083</v>
      </c>
      <c r="F53" s="2">
        <f t="shared" si="3"/>
        <v>-1.4777811422417381E-2</v>
      </c>
      <c r="G53" s="2">
        <f t="shared" si="4"/>
        <v>2.1838371043652962E-4</v>
      </c>
      <c r="L53" s="2">
        <v>0.53074389682164513</v>
      </c>
      <c r="M53" s="2">
        <f t="shared" si="8"/>
        <v>0.27868436025466692</v>
      </c>
      <c r="N53" s="2">
        <f t="shared" si="5"/>
        <v>7.7664972650552971E-2</v>
      </c>
      <c r="U53">
        <v>25</v>
      </c>
      <c r="V53">
        <v>0.69999669522367114</v>
      </c>
      <c r="W53">
        <v>-5.2827275362981707E-2</v>
      </c>
      <c r="Y53">
        <v>24.747474747474747</v>
      </c>
      <c r="Z53">
        <v>0.36970110393761968</v>
      </c>
    </row>
    <row r="54" spans="1:26" x14ac:dyDescent="0.3">
      <c r="A54" s="2">
        <v>0.85503758843977617</v>
      </c>
      <c r="B54" s="2">
        <v>0.78195236816211977</v>
      </c>
      <c r="C54" s="2">
        <f t="shared" si="6"/>
        <v>0.66859866714811089</v>
      </c>
      <c r="D54" s="2">
        <f t="shared" si="2"/>
        <v>0.73108927764490805</v>
      </c>
      <c r="E54" s="2">
        <f t="shared" si="7"/>
        <v>0.73082177636861345</v>
      </c>
      <c r="F54" s="2">
        <f t="shared" si="3"/>
        <v>-5.1130591793506319E-2</v>
      </c>
      <c r="G54" s="2">
        <f t="shared" si="4"/>
        <v>2.6143374171541758E-3</v>
      </c>
      <c r="L54" s="2">
        <v>0.53074389682164513</v>
      </c>
      <c r="M54" s="2">
        <f t="shared" si="8"/>
        <v>-0.25120847134047464</v>
      </c>
      <c r="N54" s="2">
        <f t="shared" si="5"/>
        <v>6.3105696073218073E-2</v>
      </c>
      <c r="U54">
        <v>26</v>
      </c>
      <c r="V54">
        <v>0.2370241397949715</v>
      </c>
      <c r="W54">
        <v>7.5336731867587714E-2</v>
      </c>
      <c r="Y54">
        <v>25.757575757575758</v>
      </c>
      <c r="Z54">
        <v>0.37084690022290512</v>
      </c>
    </row>
    <row r="55" spans="1:26" x14ac:dyDescent="0.3">
      <c r="A55" s="2">
        <v>0.29340007608860508</v>
      </c>
      <c r="B55" s="2">
        <v>0.36349865139940168</v>
      </c>
      <c r="C55" s="2">
        <f t="shared" si="6"/>
        <v>0.10665053197868979</v>
      </c>
      <c r="D55" s="2">
        <f t="shared" si="2"/>
        <v>8.6083604648799245E-2</v>
      </c>
      <c r="E55" s="2">
        <f t="shared" si="7"/>
        <v>0.38480539090128307</v>
      </c>
      <c r="F55" s="2">
        <f t="shared" si="3"/>
        <v>2.1306739501881389E-2</v>
      </c>
      <c r="G55" s="2">
        <f t="shared" si="4"/>
        <v>4.5397714820103277E-4</v>
      </c>
      <c r="L55" s="2">
        <v>0.53074389682164513</v>
      </c>
      <c r="M55" s="2">
        <f t="shared" si="8"/>
        <v>0.16724524542224345</v>
      </c>
      <c r="N55" s="2">
        <f t="shared" si="5"/>
        <v>2.7970972116346443E-2</v>
      </c>
      <c r="U55">
        <v>27</v>
      </c>
      <c r="V55">
        <v>0.41855042024728362</v>
      </c>
      <c r="W55">
        <v>2.5421925559763303E-2</v>
      </c>
      <c r="Y55">
        <v>26.767676767676768</v>
      </c>
      <c r="Z55">
        <v>0.37524509358982872</v>
      </c>
    </row>
    <row r="56" spans="1:26" x14ac:dyDescent="0.3">
      <c r="A56" s="2">
        <v>0.35411189627530182</v>
      </c>
      <c r="B56" s="2">
        <v>0.45946671617606971</v>
      </c>
      <c r="C56" s="2">
        <f t="shared" si="6"/>
        <v>0.16270263014049394</v>
      </c>
      <c r="D56" s="2">
        <f t="shared" si="2"/>
        <v>0.1253952350836901</v>
      </c>
      <c r="E56" s="2">
        <f t="shared" si="7"/>
        <v>0.42220902601141119</v>
      </c>
      <c r="F56" s="2">
        <f t="shared" si="3"/>
        <v>-3.7257690164658519E-2</v>
      </c>
      <c r="G56" s="2">
        <f t="shared" si="4"/>
        <v>1.3881354764056922E-3</v>
      </c>
      <c r="L56" s="2">
        <v>0.53074389682164513</v>
      </c>
      <c r="M56" s="2">
        <f t="shared" si="8"/>
        <v>7.1277180645575422E-2</v>
      </c>
      <c r="N56" s="2">
        <f t="shared" si="5"/>
        <v>5.0804364807819913E-3</v>
      </c>
      <c r="U56">
        <v>28</v>
      </c>
      <c r="V56">
        <v>0.39157111361003943</v>
      </c>
      <c r="W56">
        <v>1.2632146900979413E-2</v>
      </c>
      <c r="Y56">
        <v>27.777777777777779</v>
      </c>
      <c r="Z56">
        <v>0.38664960613827359</v>
      </c>
    </row>
    <row r="57" spans="1:26" x14ac:dyDescent="0.3">
      <c r="A57" s="2">
        <v>0.28524098853692414</v>
      </c>
      <c r="B57" s="2">
        <v>0.41370848157554141</v>
      </c>
      <c r="C57" s="2">
        <f t="shared" si="6"/>
        <v>0.1180066162507173</v>
      </c>
      <c r="D57" s="2">
        <f t="shared" si="2"/>
        <v>8.1362421541521693E-2</v>
      </c>
      <c r="E57" s="2">
        <f t="shared" si="7"/>
        <v>0.37977870033795952</v>
      </c>
      <c r="F57" s="2">
        <f t="shared" si="3"/>
        <v>-3.3929781237581891E-2</v>
      </c>
      <c r="G57" s="2">
        <f t="shared" si="4"/>
        <v>1.1512300548301641E-3</v>
      </c>
      <c r="L57" s="2">
        <v>0.53074389682164513</v>
      </c>
      <c r="M57" s="2">
        <f t="shared" si="8"/>
        <v>0.11703541524610372</v>
      </c>
      <c r="N57" s="2">
        <f t="shared" si="5"/>
        <v>1.3697288421827929E-2</v>
      </c>
      <c r="U57">
        <v>29</v>
      </c>
      <c r="V57">
        <v>0.27925787449414091</v>
      </c>
      <c r="W57">
        <v>6.7494507914381441E-2</v>
      </c>
      <c r="Y57">
        <v>28.787878787878789</v>
      </c>
      <c r="Z57">
        <v>0.3982286802703412</v>
      </c>
    </row>
    <row r="58" spans="1:26" x14ac:dyDescent="0.3">
      <c r="A58" s="2">
        <v>0.14880532665274115</v>
      </c>
      <c r="B58" s="2">
        <v>0.36970110393761968</v>
      </c>
      <c r="C58" s="2">
        <f t="shared" si="6"/>
        <v>5.5013493535316503E-2</v>
      </c>
      <c r="D58" s="2">
        <f t="shared" si="2"/>
        <v>2.2143025240228997E-2</v>
      </c>
      <c r="E58" s="2">
        <f t="shared" si="7"/>
        <v>0.29572275048450702</v>
      </c>
      <c r="F58" s="2">
        <f t="shared" si="3"/>
        <v>-7.3978353453112655E-2</v>
      </c>
      <c r="G58" s="2">
        <f t="shared" si="4"/>
        <v>5.4727967796336652E-3</v>
      </c>
      <c r="L58" s="2">
        <v>0.53074389682164513</v>
      </c>
      <c r="M58" s="2">
        <f t="shared" si="8"/>
        <v>0.16104279288402545</v>
      </c>
      <c r="N58" s="2">
        <f t="shared" si="5"/>
        <v>2.593478113988712E-2</v>
      </c>
      <c r="U58">
        <v>30</v>
      </c>
      <c r="V58">
        <v>0.62783034566455354</v>
      </c>
      <c r="W58">
        <v>-9.1648840886262128E-2</v>
      </c>
      <c r="Y58">
        <v>29.797979797979799</v>
      </c>
      <c r="Z58">
        <v>0.40420326051101885</v>
      </c>
    </row>
    <row r="59" spans="1:26" x14ac:dyDescent="0.3">
      <c r="A59" s="2">
        <v>0.59314132654639506</v>
      </c>
      <c r="B59" s="2">
        <v>0.55197844751117675</v>
      </c>
      <c r="C59" s="2">
        <f t="shared" si="6"/>
        <v>0.3274012285817991</v>
      </c>
      <c r="D59" s="2">
        <f t="shared" si="2"/>
        <v>0.35181663325721724</v>
      </c>
      <c r="E59" s="2">
        <f t="shared" si="7"/>
        <v>0.56947144645850678</v>
      </c>
      <c r="F59" s="2">
        <f t="shared" si="3"/>
        <v>1.749299894733003E-2</v>
      </c>
      <c r="G59" s="2">
        <f t="shared" si="4"/>
        <v>3.0600501217128951E-4</v>
      </c>
      <c r="L59" s="2">
        <v>0.53074389682164513</v>
      </c>
      <c r="M59" s="2">
        <f t="shared" si="8"/>
        <v>-2.1234550689531617E-2</v>
      </c>
      <c r="N59" s="2">
        <f t="shared" si="5"/>
        <v>4.5090614298628768E-4</v>
      </c>
      <c r="U59">
        <v>31</v>
      </c>
      <c r="V59">
        <v>0.76245870947260475</v>
      </c>
      <c r="W59">
        <v>-0.11337680095022973</v>
      </c>
      <c r="Y59">
        <v>30.80808080808081</v>
      </c>
      <c r="Z59">
        <v>0.4110178911656247</v>
      </c>
    </row>
    <row r="60" spans="1:26" x14ac:dyDescent="0.3">
      <c r="A60" s="2">
        <v>0.82249087867443393</v>
      </c>
      <c r="B60" s="2">
        <v>0.75865373301830485</v>
      </c>
      <c r="C60" s="2">
        <f t="shared" si="6"/>
        <v>0.623985775479865</v>
      </c>
      <c r="D60" s="2">
        <f t="shared" si="2"/>
        <v>0.67649124550264239</v>
      </c>
      <c r="E60" s="2">
        <f t="shared" si="7"/>
        <v>0.71077024023685942</v>
      </c>
      <c r="F60" s="2">
        <f t="shared" si="3"/>
        <v>-4.7883492781445436E-2</v>
      </c>
      <c r="G60" s="2">
        <f t="shared" si="4"/>
        <v>2.2928288809507371E-3</v>
      </c>
      <c r="L60" s="2">
        <v>0.53074389682164513</v>
      </c>
      <c r="M60" s="2">
        <f t="shared" si="8"/>
        <v>-0.22790983619665972</v>
      </c>
      <c r="N60" s="2">
        <f t="shared" si="5"/>
        <v>5.1942893435188264E-2</v>
      </c>
      <c r="U60">
        <v>32</v>
      </c>
      <c r="V60">
        <v>0.42709152777246923</v>
      </c>
      <c r="W60">
        <v>-5.1846434182640511E-2</v>
      </c>
      <c r="Y60">
        <v>31.81818181818182</v>
      </c>
      <c r="Z60">
        <v>0.41370848157554141</v>
      </c>
    </row>
    <row r="61" spans="1:26" x14ac:dyDescent="0.3">
      <c r="A61" s="2">
        <v>0.86434582925389836</v>
      </c>
      <c r="B61" s="2">
        <v>0.79022351938563629</v>
      </c>
      <c r="C61" s="2">
        <f t="shared" si="6"/>
        <v>0.68302640315931185</v>
      </c>
      <c r="D61" s="2">
        <f t="shared" si="2"/>
        <v>0.74709371254860923</v>
      </c>
      <c r="E61" s="2">
        <f t="shared" si="7"/>
        <v>0.73655644289414324</v>
      </c>
      <c r="F61" s="2">
        <f t="shared" si="3"/>
        <v>-5.3667076491493049E-2</v>
      </c>
      <c r="G61" s="2">
        <f t="shared" si="4"/>
        <v>2.8801550991437658E-3</v>
      </c>
      <c r="L61" s="2">
        <v>0.53074389682164513</v>
      </c>
      <c r="M61" s="2">
        <f t="shared" si="8"/>
        <v>-0.25947962256399115</v>
      </c>
      <c r="N61" s="2">
        <f t="shared" si="5"/>
        <v>6.7329674525951302E-2</v>
      </c>
      <c r="U61">
        <v>33</v>
      </c>
      <c r="V61">
        <v>0.36533528920196379</v>
      </c>
      <c r="W61">
        <v>6.8422403050938885E-2</v>
      </c>
      <c r="Y61">
        <v>32.828282828282831</v>
      </c>
      <c r="Z61">
        <v>0.42493242548929988</v>
      </c>
    </row>
    <row r="62" spans="1:26" x14ac:dyDescent="0.3">
      <c r="A62" s="2">
        <v>0.47931622694976117</v>
      </c>
      <c r="B62" s="2">
        <v>0.42493242548929988</v>
      </c>
      <c r="C62" s="2">
        <f t="shared" si="6"/>
        <v>0.20367700689414173</v>
      </c>
      <c r="D62" s="2">
        <f t="shared" si="2"/>
        <v>0.22974404541735496</v>
      </c>
      <c r="E62" s="2">
        <f t="shared" si="7"/>
        <v>0.49934552240295693</v>
      </c>
      <c r="F62" s="2">
        <f t="shared" si="3"/>
        <v>7.4413096913657051E-2</v>
      </c>
      <c r="G62" s="2">
        <f t="shared" si="4"/>
        <v>5.5373089922813165E-3</v>
      </c>
      <c r="L62" s="2">
        <v>0.53074389682164513</v>
      </c>
      <c r="M62" s="2">
        <f t="shared" si="8"/>
        <v>0.10581147133234525</v>
      </c>
      <c r="N62" s="2">
        <f t="shared" si="5"/>
        <v>1.1196067465515722E-2</v>
      </c>
      <c r="U62">
        <v>34</v>
      </c>
      <c r="V62">
        <v>0.59254492889036503</v>
      </c>
      <c r="W62">
        <v>-0.10081278226139179</v>
      </c>
      <c r="Y62">
        <v>33.838383838383841</v>
      </c>
      <c r="Z62">
        <v>0.43070938875103626</v>
      </c>
    </row>
    <row r="63" spans="1:26" x14ac:dyDescent="0.3">
      <c r="A63" s="2">
        <v>0.97329157419321743</v>
      </c>
      <c r="B63" s="2">
        <v>0.87371234976016232</v>
      </c>
      <c r="C63" s="2">
        <f t="shared" si="6"/>
        <v>0.85037686829012338</v>
      </c>
      <c r="D63" s="2">
        <f t="shared" si="2"/>
        <v>0.94729648839551128</v>
      </c>
      <c r="E63" s="2">
        <f t="shared" si="7"/>
        <v>0.80367627026845567</v>
      </c>
      <c r="F63" s="2">
        <f t="shared" si="3"/>
        <v>-7.0036079491706649E-2</v>
      </c>
      <c r="G63" s="2">
        <f t="shared" si="4"/>
        <v>4.9050524305686528E-3</v>
      </c>
      <c r="L63" s="2">
        <v>0.53074389682164513</v>
      </c>
      <c r="M63" s="2">
        <f t="shared" si="8"/>
        <v>-0.34296845293851719</v>
      </c>
      <c r="N63" s="2">
        <f t="shared" si="5"/>
        <v>0.11762735971103988</v>
      </c>
      <c r="U63">
        <v>35</v>
      </c>
      <c r="V63">
        <v>0.72022762625350589</v>
      </c>
      <c r="W63">
        <v>0.12597304546956234</v>
      </c>
      <c r="Y63">
        <v>34.848484848484851</v>
      </c>
      <c r="Z63">
        <v>0.43375769225290267</v>
      </c>
    </row>
    <row r="64" spans="1:26" x14ac:dyDescent="0.3">
      <c r="A64" s="2">
        <v>0.18439041582405757</v>
      </c>
      <c r="B64" s="2">
        <v>0.37084690022290512</v>
      </c>
      <c r="C64" s="2">
        <f t="shared" si="6"/>
        <v>6.838061413916427E-2</v>
      </c>
      <c r="D64" s="2">
        <f t="shared" si="2"/>
        <v>3.3999825447768861E-2</v>
      </c>
      <c r="E64" s="2">
        <f t="shared" si="7"/>
        <v>0.3176461862608066</v>
      </c>
      <c r="F64" s="2">
        <f t="shared" si="3"/>
        <v>-5.3200713962098523E-2</v>
      </c>
      <c r="G64" s="2">
        <f t="shared" si="4"/>
        <v>2.8303159660770247E-3</v>
      </c>
      <c r="L64" s="2">
        <v>0.53074389682164513</v>
      </c>
      <c r="M64" s="2">
        <f t="shared" si="8"/>
        <v>0.15989699659874002</v>
      </c>
      <c r="N64" s="2">
        <f t="shared" si="5"/>
        <v>2.5567049521297475E-2</v>
      </c>
      <c r="U64">
        <v>36</v>
      </c>
      <c r="V64">
        <v>0.80106168163876723</v>
      </c>
      <c r="W64">
        <v>-6.4781951417819394E-2</v>
      </c>
      <c r="Y64">
        <v>35.858585858585862</v>
      </c>
      <c r="Z64">
        <v>0.44181511725254541</v>
      </c>
    </row>
    <row r="65" spans="1:26" x14ac:dyDescent="0.3">
      <c r="A65" s="2">
        <v>0.88039956333210889</v>
      </c>
      <c r="B65" s="2">
        <v>0.77901753074964941</v>
      </c>
      <c r="C65" s="2">
        <f t="shared" si="6"/>
        <v>0.68584669390004904</v>
      </c>
      <c r="D65" s="2">
        <f t="shared" si="2"/>
        <v>0.77510339111536797</v>
      </c>
      <c r="E65" s="2">
        <f t="shared" si="7"/>
        <v>0.74644690590068619</v>
      </c>
      <c r="F65" s="2">
        <f t="shared" si="3"/>
        <v>-3.2570624848963226E-2</v>
      </c>
      <c r="G65" s="2">
        <f t="shared" si="4"/>
        <v>1.0608456030519007E-3</v>
      </c>
      <c r="L65" s="2">
        <v>0.53074389682164513</v>
      </c>
      <c r="M65" s="2">
        <f t="shared" si="8"/>
        <v>-0.24827363392800428</v>
      </c>
      <c r="N65" s="2">
        <f t="shared" si="5"/>
        <v>6.1639797303816676E-2</v>
      </c>
      <c r="U65">
        <v>37</v>
      </c>
      <c r="V65">
        <v>0.61463851815747472</v>
      </c>
      <c r="W65">
        <v>0.10664101476984766</v>
      </c>
      <c r="Y65">
        <v>36.868686868686872</v>
      </c>
      <c r="Z65">
        <v>0.44397234580704692</v>
      </c>
    </row>
    <row r="66" spans="1:26" x14ac:dyDescent="0.3">
      <c r="A66" s="2">
        <v>0.12530690449276005</v>
      </c>
      <c r="B66" s="2">
        <v>0.23224960445334369</v>
      </c>
      <c r="C66" s="2">
        <f t="shared" si="6"/>
        <v>2.9102479003716437E-2</v>
      </c>
      <c r="D66" s="2">
        <f t="shared" si="2"/>
        <v>1.5701820313557689E-2</v>
      </c>
      <c r="E66" s="2">
        <f t="shared" ref="E66:E101" si="9">J$9*A66+J$10</f>
        <v>0.28124572763404942</v>
      </c>
      <c r="F66" s="2">
        <f t="shared" si="3"/>
        <v>4.8996123180705731E-2</v>
      </c>
      <c r="G66" s="2">
        <f t="shared" si="4"/>
        <v>2.4006200867388895E-3</v>
      </c>
      <c r="L66" s="2">
        <v>0.53074389682164513</v>
      </c>
      <c r="M66" s="2">
        <f t="shared" ref="M66:M101" si="10">J$4-B66</f>
        <v>0.29849429236830144</v>
      </c>
      <c r="N66" s="2">
        <f t="shared" si="5"/>
        <v>8.9098842576453022E-2</v>
      </c>
      <c r="U66">
        <v>38</v>
      </c>
      <c r="V66">
        <v>0.80645679546784854</v>
      </c>
      <c r="W66">
        <v>8.3104262319856126E-2</v>
      </c>
      <c r="Y66">
        <v>37.878787878787882</v>
      </c>
      <c r="Z66">
        <v>0.44443129482786581</v>
      </c>
    </row>
    <row r="67" spans="1:26" x14ac:dyDescent="0.3">
      <c r="A67" s="2">
        <v>0.5545073286885116</v>
      </c>
      <c r="B67" s="2">
        <v>0.45200995402182964</v>
      </c>
      <c r="C67" s="2">
        <f t="shared" si="6"/>
        <v>0.25064283214526173</v>
      </c>
      <c r="D67" s="2">
        <f t="shared" ref="D67:D101" si="11">A67*A67</f>
        <v>0.30747837756926905</v>
      </c>
      <c r="E67" s="2">
        <f t="shared" si="9"/>
        <v>0.54566962410697739</v>
      </c>
      <c r="F67" s="2">
        <f t="shared" ref="F67:F101" si="12">E67-B67</f>
        <v>9.365967008514775E-2</v>
      </c>
      <c r="G67" s="2">
        <f t="shared" ref="G67:G101" si="13">F67*F67</f>
        <v>8.7721338004587198E-3</v>
      </c>
      <c r="L67" s="2">
        <v>0.53074389682164513</v>
      </c>
      <c r="M67" s="2">
        <f t="shared" si="10"/>
        <v>7.8733942799815493E-2</v>
      </c>
      <c r="N67" s="2">
        <f t="shared" ref="N67:N101" si="14">M67*M67</f>
        <v>6.1990337488046178E-3</v>
      </c>
      <c r="U67">
        <v>39</v>
      </c>
      <c r="V67">
        <v>0.46177485357837189</v>
      </c>
      <c r="W67">
        <v>-3.1065464827335632E-2</v>
      </c>
      <c r="Y67">
        <v>38.888888888888893</v>
      </c>
      <c r="Z67">
        <v>0.44928826598805105</v>
      </c>
    </row>
    <row r="68" spans="1:26" x14ac:dyDescent="0.3">
      <c r="A68" s="2">
        <v>0.14523864847476131</v>
      </c>
      <c r="B68" s="2">
        <v>0.27047234402558801</v>
      </c>
      <c r="C68" s="2">
        <f t="shared" ref="C68:C101" si="15">A68*B68</f>
        <v>3.9283037696077085E-2</v>
      </c>
      <c r="D68" s="2">
        <f t="shared" si="11"/>
        <v>2.1094265010775288E-2</v>
      </c>
      <c r="E68" s="2">
        <f t="shared" si="9"/>
        <v>0.29352537394869949</v>
      </c>
      <c r="F68" s="2">
        <f t="shared" si="12"/>
        <v>2.3053029923111479E-2</v>
      </c>
      <c r="G68" s="2">
        <f t="shared" si="13"/>
        <v>5.3144218863587322E-4</v>
      </c>
      <c r="L68" s="2">
        <v>0.53074389682164513</v>
      </c>
      <c r="M68" s="2">
        <f t="shared" si="10"/>
        <v>0.26027155279605713</v>
      </c>
      <c r="N68" s="2">
        <f t="shared" si="14"/>
        <v>6.7741281194870759E-2</v>
      </c>
      <c r="U68">
        <v>40</v>
      </c>
      <c r="V68">
        <v>0.21123656185924067</v>
      </c>
      <c r="W68">
        <v>-9.904030529059786E-2</v>
      </c>
      <c r="Y68">
        <v>39.898989898989903</v>
      </c>
      <c r="Z68">
        <v>0.45200995402182964</v>
      </c>
    </row>
    <row r="69" spans="1:26" x14ac:dyDescent="0.3">
      <c r="A69" s="2">
        <v>0.28014076642357622</v>
      </c>
      <c r="B69" s="2">
        <v>0.30736946927796149</v>
      </c>
      <c r="C69" s="2">
        <f t="shared" si="15"/>
        <v>8.6106718698735998E-2</v>
      </c>
      <c r="D69" s="2">
        <f t="shared" si="11"/>
        <v>7.8478849012388691E-2</v>
      </c>
      <c r="E69" s="2">
        <f t="shared" si="9"/>
        <v>0.37663653055419022</v>
      </c>
      <c r="F69" s="2">
        <f t="shared" si="12"/>
        <v>6.9267061276228725E-2</v>
      </c>
      <c r="G69" s="2">
        <f t="shared" si="13"/>
        <v>4.7979257778448248E-3</v>
      </c>
      <c r="L69" s="2">
        <v>0.53074389682164513</v>
      </c>
      <c r="M69" s="2">
        <f t="shared" si="10"/>
        <v>0.22337442754368364</v>
      </c>
      <c r="N69" s="2">
        <f t="shared" si="14"/>
        <v>4.9896134880468374E-2</v>
      </c>
      <c r="U69">
        <v>41</v>
      </c>
      <c r="V69">
        <v>0.25340675149038117</v>
      </c>
      <c r="W69">
        <v>-6.7166439956572066E-2</v>
      </c>
      <c r="Y69">
        <v>40.909090909090914</v>
      </c>
      <c r="Z69">
        <v>0.45500668900069818</v>
      </c>
    </row>
    <row r="70" spans="1:26" x14ac:dyDescent="0.3">
      <c r="A70" s="2">
        <v>0.69389488361948504</v>
      </c>
      <c r="B70" s="2">
        <v>0.74059637393501387</v>
      </c>
      <c r="C70" s="2">
        <f t="shared" si="15"/>
        <v>0.51389603470064904</v>
      </c>
      <c r="D70" s="2">
        <f t="shared" si="11"/>
        <v>0.48149010951329868</v>
      </c>
      <c r="E70" s="2">
        <f t="shared" si="9"/>
        <v>0.63154419066582179</v>
      </c>
      <c r="F70" s="2">
        <f t="shared" si="12"/>
        <v>-0.10905218326919208</v>
      </c>
      <c r="G70" s="2">
        <f t="shared" si="13"/>
        <v>1.1892378675777457E-2</v>
      </c>
      <c r="L70" s="2">
        <v>0.53074389682164513</v>
      </c>
      <c r="M70" s="2">
        <f t="shared" si="10"/>
        <v>-0.20985247711336874</v>
      </c>
      <c r="N70" s="2">
        <f t="shared" si="14"/>
        <v>4.4038062150616952E-2</v>
      </c>
      <c r="U70">
        <v>42</v>
      </c>
      <c r="V70">
        <v>0.78686882792139468</v>
      </c>
      <c r="W70">
        <v>0.12460876295848433</v>
      </c>
      <c r="Y70">
        <v>41.919191919191924</v>
      </c>
      <c r="Z70">
        <v>0.45946671617606971</v>
      </c>
    </row>
    <row r="71" spans="1:26" x14ac:dyDescent="0.3">
      <c r="A71" s="2">
        <v>0.63038707268410776</v>
      </c>
      <c r="B71" s="2">
        <v>0.65696374730766405</v>
      </c>
      <c r="C71" s="2">
        <f t="shared" si="15"/>
        <v>0.4141414535248602</v>
      </c>
      <c r="D71" s="2">
        <f t="shared" si="11"/>
        <v>0.39738786140723859</v>
      </c>
      <c r="E71" s="2">
        <f t="shared" si="9"/>
        <v>0.59241798790060862</v>
      </c>
      <c r="F71" s="2">
        <f t="shared" si="12"/>
        <v>-6.4545759407055425E-2</v>
      </c>
      <c r="G71" s="2">
        <f t="shared" si="13"/>
        <v>4.1661550574334837E-3</v>
      </c>
      <c r="L71" s="2">
        <v>0.53074389682164513</v>
      </c>
      <c r="M71" s="2">
        <f t="shared" si="10"/>
        <v>-0.12621985048601891</v>
      </c>
      <c r="N71" s="2">
        <f t="shared" si="14"/>
        <v>1.5931450656712969E-2</v>
      </c>
      <c r="U71">
        <v>43</v>
      </c>
      <c r="V71">
        <v>0.7655277902208717</v>
      </c>
      <c r="W71">
        <v>-7.6425793584513291E-2</v>
      </c>
      <c r="Y71">
        <v>42.929292929292934</v>
      </c>
      <c r="Z71">
        <v>0.46508836143507509</v>
      </c>
    </row>
    <row r="72" spans="1:26" x14ac:dyDescent="0.3">
      <c r="A72" s="2">
        <v>0.42019968489970938</v>
      </c>
      <c r="B72" s="2">
        <v>0.45500668900069818</v>
      </c>
      <c r="C72" s="2">
        <f t="shared" si="15"/>
        <v>0.19119366734535345</v>
      </c>
      <c r="D72" s="2">
        <f t="shared" si="11"/>
        <v>0.17656777518981506</v>
      </c>
      <c r="E72" s="2">
        <f t="shared" si="9"/>
        <v>0.46292471404944291</v>
      </c>
      <c r="F72" s="2">
        <f t="shared" si="12"/>
        <v>7.9180250487447257E-3</v>
      </c>
      <c r="G72" s="2">
        <f t="shared" si="13"/>
        <v>6.2695120672548921E-5</v>
      </c>
      <c r="L72" s="2">
        <v>0.53074389682164513</v>
      </c>
      <c r="M72" s="2">
        <f t="shared" si="10"/>
        <v>7.573720782094695E-2</v>
      </c>
      <c r="N72" s="2">
        <f t="shared" si="14"/>
        <v>5.7361246485133077E-3</v>
      </c>
      <c r="U72">
        <v>44</v>
      </c>
      <c r="V72">
        <v>0.262856048482074</v>
      </c>
      <c r="W72">
        <v>3.6892944402212302E-2</v>
      </c>
      <c r="Y72">
        <v>43.939393939393945</v>
      </c>
      <c r="Z72">
        <v>0.47498722303252572</v>
      </c>
    </row>
    <row r="73" spans="1:26" x14ac:dyDescent="0.3">
      <c r="A73" s="2">
        <v>0.53276843023752962</v>
      </c>
      <c r="B73" s="2">
        <v>0.44181511725254541</v>
      </c>
      <c r="C73" s="2">
        <f t="shared" si="15"/>
        <v>0.2353851464738487</v>
      </c>
      <c r="D73" s="2">
        <f t="shared" si="11"/>
        <v>0.28384220025776147</v>
      </c>
      <c r="E73" s="2">
        <f t="shared" si="9"/>
        <v>0.53227661722864261</v>
      </c>
      <c r="F73" s="2">
        <f t="shared" si="12"/>
        <v>9.0461499976097204E-2</v>
      </c>
      <c r="G73" s="2">
        <f t="shared" si="13"/>
        <v>8.1832829779254351E-3</v>
      </c>
      <c r="L73" s="2">
        <v>0.53074389682164513</v>
      </c>
      <c r="M73" s="2">
        <f t="shared" si="10"/>
        <v>8.8928779569099725E-2</v>
      </c>
      <c r="N73" s="2">
        <f t="shared" si="14"/>
        <v>7.9083278356495285E-3</v>
      </c>
      <c r="U73">
        <v>45</v>
      </c>
      <c r="V73">
        <v>0.6535157483935583</v>
      </c>
      <c r="W73">
        <v>-5.9221488390751587E-2</v>
      </c>
      <c r="Y73">
        <v>44.949494949494955</v>
      </c>
      <c r="Z73">
        <v>0.49173214662897324</v>
      </c>
    </row>
    <row r="74" spans="1:26" x14ac:dyDescent="0.3">
      <c r="A74" s="2">
        <v>0.40668176161430936</v>
      </c>
      <c r="B74" s="2">
        <v>0.49732102891431551</v>
      </c>
      <c r="C74" s="2">
        <f t="shared" si="15"/>
        <v>0.20225139212671472</v>
      </c>
      <c r="D74" s="2">
        <f t="shared" si="11"/>
        <v>0.16539005522971795</v>
      </c>
      <c r="E74" s="2">
        <f t="shared" si="9"/>
        <v>0.4545965257582838</v>
      </c>
      <c r="F74" s="2">
        <f t="shared" si="12"/>
        <v>-4.2724503156031712E-2</v>
      </c>
      <c r="G74" s="2">
        <f t="shared" si="13"/>
        <v>1.8253831699297637E-3</v>
      </c>
      <c r="L74" s="2">
        <v>0.53074389682164513</v>
      </c>
      <c r="M74" s="2">
        <f t="shared" si="10"/>
        <v>3.3422867907329623E-2</v>
      </c>
      <c r="N74" s="2">
        <f t="shared" si="14"/>
        <v>1.1170880991508046E-3</v>
      </c>
      <c r="U74">
        <v>46</v>
      </c>
      <c r="V74">
        <v>0.32273005395053611</v>
      </c>
      <c r="W74">
        <v>-1.4346322105200815E-2</v>
      </c>
      <c r="Y74">
        <v>45.959595959595966</v>
      </c>
      <c r="Z74">
        <v>0.49220889984896032</v>
      </c>
    </row>
    <row r="75" spans="1:26" x14ac:dyDescent="0.3">
      <c r="A75" s="2">
        <v>0.79934438448659162</v>
      </c>
      <c r="B75" s="2">
        <v>0.67077018043836301</v>
      </c>
      <c r="C75" s="2">
        <f t="shared" si="15"/>
        <v>0.5361763770144633</v>
      </c>
      <c r="D75" s="2">
        <f t="shared" si="11"/>
        <v>0.63895144501024803</v>
      </c>
      <c r="E75" s="2">
        <f t="shared" si="9"/>
        <v>0.69651003489268715</v>
      </c>
      <c r="F75" s="2">
        <f t="shared" si="12"/>
        <v>2.573985445432414E-2</v>
      </c>
      <c r="G75" s="2">
        <f t="shared" si="13"/>
        <v>6.6254010732979033E-4</v>
      </c>
      <c r="L75" s="2">
        <v>0.53074389682164513</v>
      </c>
      <c r="M75" s="2">
        <f t="shared" si="10"/>
        <v>-0.14002628361671787</v>
      </c>
      <c r="N75" s="2">
        <f t="shared" si="14"/>
        <v>1.9607360103509511E-2</v>
      </c>
      <c r="U75">
        <v>47</v>
      </c>
      <c r="V75">
        <v>0.55271988988080611</v>
      </c>
      <c r="W75">
        <v>-6.0510990031845791E-2</v>
      </c>
      <c r="Y75">
        <v>46.969696969696976</v>
      </c>
      <c r="Z75">
        <v>0.49590623521970506</v>
      </c>
    </row>
    <row r="76" spans="1:26" x14ac:dyDescent="0.3">
      <c r="A76" s="2">
        <v>0.86643018871094568</v>
      </c>
      <c r="B76" s="2">
        <v>0.79750737047927767</v>
      </c>
      <c r="C76" s="2">
        <f t="shared" si="15"/>
        <v>0.69098446150273063</v>
      </c>
      <c r="D76" s="2">
        <f t="shared" si="11"/>
        <v>0.75070127190968494</v>
      </c>
      <c r="E76" s="2">
        <f t="shared" si="9"/>
        <v>0.73784058526263085</v>
      </c>
      <c r="F76" s="2">
        <f t="shared" si="12"/>
        <v>-5.9666785216646812E-2</v>
      </c>
      <c r="G76" s="2">
        <f t="shared" si="13"/>
        <v>3.5601252580894625E-3</v>
      </c>
      <c r="L76" s="2">
        <v>0.53074389682164513</v>
      </c>
      <c r="M76" s="2">
        <f t="shared" si="10"/>
        <v>-0.26676347365763253</v>
      </c>
      <c r="N76" s="2">
        <f t="shared" si="14"/>
        <v>7.1162750877886399E-2</v>
      </c>
      <c r="U76">
        <v>48</v>
      </c>
      <c r="V76">
        <v>0.41187734211480348</v>
      </c>
      <c r="W76">
        <v>-7.5355502242440531E-2</v>
      </c>
      <c r="Y76">
        <v>47.979797979797986</v>
      </c>
      <c r="Z76">
        <v>0.49732102891431551</v>
      </c>
    </row>
    <row r="77" spans="1:26" x14ac:dyDescent="0.3">
      <c r="A77" s="2">
        <v>0.8322844551991988</v>
      </c>
      <c r="B77" s="2">
        <v>0.71306985210681084</v>
      </c>
      <c r="C77" s="2">
        <f t="shared" si="15"/>
        <v>0.59347695337969031</v>
      </c>
      <c r="D77" s="2">
        <f t="shared" si="11"/>
        <v>0.69269741436622712</v>
      </c>
      <c r="E77" s="2">
        <f t="shared" si="9"/>
        <v>0.71680391476068284</v>
      </c>
      <c r="F77" s="2">
        <f t="shared" si="12"/>
        <v>3.7340626538719945E-3</v>
      </c>
      <c r="G77" s="2">
        <f t="shared" si="13"/>
        <v>1.3943223903041563E-5</v>
      </c>
      <c r="L77" s="2">
        <v>0.53074389682164513</v>
      </c>
      <c r="M77" s="2">
        <f t="shared" si="10"/>
        <v>-0.18232595528516571</v>
      </c>
      <c r="N77" s="2">
        <f t="shared" si="14"/>
        <v>3.3242753970648242E-2</v>
      </c>
      <c r="U77">
        <v>49</v>
      </c>
      <c r="V77">
        <v>0.67450919653346131</v>
      </c>
      <c r="W77">
        <v>2.8242287386062825E-2</v>
      </c>
      <c r="Y77">
        <v>48.98989898989899</v>
      </c>
      <c r="Z77">
        <v>0.50795291188066205</v>
      </c>
    </row>
    <row r="78" spans="1:26" x14ac:dyDescent="0.3">
      <c r="A78" s="2">
        <v>7.96261296272609E-2</v>
      </c>
      <c r="B78" s="2">
        <v>0.22749538465698904</v>
      </c>
      <c r="C78" s="2">
        <f t="shared" si="15"/>
        <v>1.811457698830099E-2</v>
      </c>
      <c r="D78" s="2">
        <f t="shared" si="11"/>
        <v>6.3403205194173563E-3</v>
      </c>
      <c r="E78" s="2">
        <f t="shared" si="9"/>
        <v>0.25310249243927524</v>
      </c>
      <c r="F78" s="2">
        <f t="shared" si="12"/>
        <v>2.5607107782286198E-2</v>
      </c>
      <c r="G78" s="2">
        <f t="shared" si="13"/>
        <v>6.5572396897362235E-4</v>
      </c>
      <c r="L78" s="2">
        <v>0.53074389682164513</v>
      </c>
      <c r="M78" s="2">
        <f t="shared" si="10"/>
        <v>0.30324851216465609</v>
      </c>
      <c r="N78" s="2">
        <f t="shared" si="14"/>
        <v>9.1959660130077572E-2</v>
      </c>
      <c r="U78">
        <v>50</v>
      </c>
      <c r="V78">
        <v>0.51777524398072206</v>
      </c>
      <c r="W78">
        <v>-2.1869008761016995E-2</v>
      </c>
      <c r="Y78">
        <v>50</v>
      </c>
      <c r="Z78">
        <v>0.51264586426313941</v>
      </c>
    </row>
    <row r="79" spans="1:26" x14ac:dyDescent="0.3">
      <c r="A79" s="2">
        <v>0.56647229726526283</v>
      </c>
      <c r="B79" s="2">
        <v>0.50795291188066205</v>
      </c>
      <c r="C79" s="2">
        <f t="shared" si="15"/>
        <v>0.28774125289561825</v>
      </c>
      <c r="D79" s="2">
        <f t="shared" si="11"/>
        <v>0.32089086356898427</v>
      </c>
      <c r="E79" s="2">
        <f t="shared" si="9"/>
        <v>0.55304106046603785</v>
      </c>
      <c r="F79" s="2">
        <f t="shared" si="12"/>
        <v>4.5088148585375798E-2</v>
      </c>
      <c r="G79" s="2">
        <f t="shared" si="13"/>
        <v>2.0329411428569254E-3</v>
      </c>
      <c r="L79" s="2">
        <v>0.53074389682164513</v>
      </c>
      <c r="M79" s="2">
        <f t="shared" si="10"/>
        <v>2.2790984940983083E-2</v>
      </c>
      <c r="N79" s="2">
        <f t="shared" si="14"/>
        <v>5.1942899458011765E-4</v>
      </c>
      <c r="U79">
        <v>51</v>
      </c>
      <c r="V79">
        <v>0.23811021909670155</v>
      </c>
      <c r="W79">
        <v>1.3949317470276668E-2</v>
      </c>
      <c r="Y79">
        <v>51.01010101010101</v>
      </c>
      <c r="Z79">
        <v>0.51675555692790198</v>
      </c>
    </row>
    <row r="80" spans="1:26" x14ac:dyDescent="0.3">
      <c r="A80" s="2">
        <v>2.593563781625885E-2</v>
      </c>
      <c r="B80" s="2">
        <v>0.19999212692780516</v>
      </c>
      <c r="C80" s="2">
        <f t="shared" si="15"/>
        <v>5.1869233701028229E-3</v>
      </c>
      <c r="D80" s="2">
        <f t="shared" si="11"/>
        <v>6.7265730893615607E-4</v>
      </c>
      <c r="E80" s="2">
        <f t="shared" si="9"/>
        <v>0.22002459165477381</v>
      </c>
      <c r="F80" s="2">
        <f t="shared" si="12"/>
        <v>2.0032464726968652E-2</v>
      </c>
      <c r="G80" s="2">
        <f t="shared" si="13"/>
        <v>4.0129964303724323E-4</v>
      </c>
      <c r="L80" s="2">
        <v>0.53074389682164513</v>
      </c>
      <c r="M80" s="2">
        <f t="shared" si="10"/>
        <v>0.33075176989383998</v>
      </c>
      <c r="N80" s="2">
        <f t="shared" si="14"/>
        <v>0.10939673328790767</v>
      </c>
      <c r="U80">
        <v>52</v>
      </c>
      <c r="V80">
        <v>0.73134168417412582</v>
      </c>
      <c r="W80">
        <v>5.0610683987993954E-2</v>
      </c>
      <c r="Y80">
        <v>52.020202020202021</v>
      </c>
      <c r="Z80">
        <v>0.51704788397609558</v>
      </c>
    </row>
    <row r="81" spans="1:26" x14ac:dyDescent="0.3">
      <c r="A81" s="2">
        <v>0.26533386820579574</v>
      </c>
      <c r="B81" s="2">
        <v>0.33876499517480929</v>
      </c>
      <c r="C81" s="2">
        <f t="shared" si="15"/>
        <v>8.9885826582449882E-2</v>
      </c>
      <c r="D81" s="2">
        <f t="shared" si="11"/>
        <v>7.0402061617050579E-2</v>
      </c>
      <c r="E81" s="2">
        <f t="shared" si="9"/>
        <v>0.36751422428256864</v>
      </c>
      <c r="F81" s="2">
        <f t="shared" si="12"/>
        <v>2.8749229107759344E-2</v>
      </c>
      <c r="G81" s="2">
        <f t="shared" si="13"/>
        <v>8.2651817429043716E-4</v>
      </c>
      <c r="L81" s="2">
        <v>0.53074389682164513</v>
      </c>
      <c r="M81" s="2">
        <f t="shared" si="10"/>
        <v>0.19197890164683584</v>
      </c>
      <c r="N81" s="2">
        <f t="shared" si="14"/>
        <v>3.6855898677525471E-2</v>
      </c>
      <c r="U81">
        <v>53</v>
      </c>
      <c r="V81">
        <v>0.3855416456127797</v>
      </c>
      <c r="W81">
        <v>-2.204299421337802E-2</v>
      </c>
      <c r="Y81">
        <v>53.030303030303031</v>
      </c>
      <c r="Z81">
        <v>0.51723516820435411</v>
      </c>
    </row>
    <row r="82" spans="1:26" x14ac:dyDescent="0.3">
      <c r="A82" s="2">
        <v>0.92004747351331806</v>
      </c>
      <c r="B82" s="2">
        <v>0.73728055118598435</v>
      </c>
      <c r="C82" s="2">
        <f t="shared" si="15"/>
        <v>0.67833310838917149</v>
      </c>
      <c r="D82" s="2">
        <f t="shared" si="11"/>
        <v>0.84648735351823967</v>
      </c>
      <c r="E82" s="2">
        <f t="shared" si="9"/>
        <v>0.77087338431521468</v>
      </c>
      <c r="F82" s="2">
        <f t="shared" si="12"/>
        <v>3.3592833129230337E-2</v>
      </c>
      <c r="G82" s="2">
        <f t="shared" si="13"/>
        <v>1.1284784376483152E-3</v>
      </c>
      <c r="L82" s="2">
        <v>0.53074389682164513</v>
      </c>
      <c r="M82" s="2">
        <f t="shared" si="10"/>
        <v>-0.20653665436433921</v>
      </c>
      <c r="N82" s="2">
        <f t="shared" si="14"/>
        <v>4.2657389596014519E-2</v>
      </c>
      <c r="U82">
        <v>54</v>
      </c>
      <c r="V82">
        <v>0.42292189408265468</v>
      </c>
      <c r="W82">
        <v>3.654482209341503E-2</v>
      </c>
      <c r="Y82">
        <v>54.040404040404042</v>
      </c>
      <c r="Z82">
        <v>0.53618150477829141</v>
      </c>
    </row>
    <row r="83" spans="1:26" x14ac:dyDescent="0.3">
      <c r="A83" s="2">
        <v>0.81613985411024115</v>
      </c>
      <c r="B83" s="2">
        <v>0.6406855392789762</v>
      </c>
      <c r="C83" s="2">
        <f t="shared" si="15"/>
        <v>0.52288900255768478</v>
      </c>
      <c r="D83" s="2">
        <f t="shared" si="11"/>
        <v>0.66608426146708566</v>
      </c>
      <c r="E83" s="2">
        <f t="shared" si="9"/>
        <v>0.70685746996174614</v>
      </c>
      <c r="F83" s="2">
        <f t="shared" si="12"/>
        <v>6.6171930682769942E-2</v>
      </c>
      <c r="G83" s="2">
        <f t="shared" si="13"/>
        <v>4.3787244102853097E-3</v>
      </c>
      <c r="L83" s="2">
        <v>0.53074389682164513</v>
      </c>
      <c r="M83" s="2">
        <f t="shared" si="10"/>
        <v>-0.10994164245733107</v>
      </c>
      <c r="N83" s="2">
        <f t="shared" si="14"/>
        <v>1.2087164746215621E-2</v>
      </c>
      <c r="U83">
        <v>55</v>
      </c>
      <c r="V83">
        <v>0.3805180979900693</v>
      </c>
      <c r="W83">
        <v>3.3190383585472105E-2</v>
      </c>
      <c r="Y83">
        <v>55.050505050505052</v>
      </c>
      <c r="Z83">
        <v>0.53955192950192554</v>
      </c>
    </row>
    <row r="84" spans="1:26" x14ac:dyDescent="0.3">
      <c r="A84" s="2">
        <v>1.8552054921190053E-2</v>
      </c>
      <c r="B84" s="2">
        <v>0.26381590243427799</v>
      </c>
      <c r="C84" s="2">
        <f t="shared" si="15"/>
        <v>4.8943271110440415E-3</v>
      </c>
      <c r="D84" s="2">
        <f t="shared" si="11"/>
        <v>3.4417874179885205E-4</v>
      </c>
      <c r="E84" s="2">
        <f t="shared" si="9"/>
        <v>0.21547567779313584</v>
      </c>
      <c r="F84" s="2">
        <f t="shared" si="12"/>
        <v>-4.8340224641142154E-2</v>
      </c>
      <c r="G84" s="2">
        <f t="shared" si="13"/>
        <v>2.3367773183560871E-3</v>
      </c>
      <c r="L84" s="2">
        <v>0.53074389682164513</v>
      </c>
      <c r="M84" s="2">
        <f t="shared" si="10"/>
        <v>0.26692799438736714</v>
      </c>
      <c r="N84" s="2">
        <f t="shared" si="14"/>
        <v>7.125055418766231E-2</v>
      </c>
      <c r="U84">
        <v>56</v>
      </c>
      <c r="V84">
        <v>0.29651470415836656</v>
      </c>
      <c r="W84">
        <v>7.318639977925312E-2</v>
      </c>
      <c r="Y84">
        <v>56.060606060606062</v>
      </c>
      <c r="Z84">
        <v>0.55197844751117675</v>
      </c>
    </row>
    <row r="85" spans="1:26" x14ac:dyDescent="0.3">
      <c r="A85" s="2">
        <v>8.0727016687708097E-2</v>
      </c>
      <c r="B85" s="2">
        <v>0.30815921310839012</v>
      </c>
      <c r="C85" s="2">
        <f t="shared" si="15"/>
        <v>2.4876773939072006E-2</v>
      </c>
      <c r="D85" s="2">
        <f t="shared" si="11"/>
        <v>6.5168512232975017E-3</v>
      </c>
      <c r="E85" s="2">
        <f t="shared" si="9"/>
        <v>0.25378073232369647</v>
      </c>
      <c r="F85" s="2">
        <f t="shared" si="12"/>
        <v>-5.437848078469365E-2</v>
      </c>
      <c r="G85" s="2">
        <f t="shared" si="13"/>
        <v>2.9570191724512967E-3</v>
      </c>
      <c r="L85" s="2">
        <v>0.53074389682164513</v>
      </c>
      <c r="M85" s="2">
        <f t="shared" si="10"/>
        <v>0.22258468371325502</v>
      </c>
      <c r="N85" s="2">
        <f t="shared" si="14"/>
        <v>4.9543941423729775E-2</v>
      </c>
      <c r="U85">
        <v>57</v>
      </c>
      <c r="V85">
        <v>0.57009223863285752</v>
      </c>
      <c r="W85">
        <v>-1.8113791121680767E-2</v>
      </c>
      <c r="Y85">
        <v>57.070707070707073</v>
      </c>
      <c r="Z85">
        <v>0.55277454957131644</v>
      </c>
    </row>
    <row r="86" spans="1:26" x14ac:dyDescent="0.3">
      <c r="A86" s="2">
        <v>7.2974681620635473E-2</v>
      </c>
      <c r="B86" s="2">
        <v>0.25772840172413225</v>
      </c>
      <c r="C86" s="2">
        <f t="shared" si="15"/>
        <v>1.8807648060413788E-2</v>
      </c>
      <c r="D86" s="2">
        <f t="shared" si="11"/>
        <v>5.3253041576331126E-3</v>
      </c>
      <c r="E86" s="2">
        <f t="shared" si="9"/>
        <v>0.24900463582043644</v>
      </c>
      <c r="F86" s="2">
        <f t="shared" si="12"/>
        <v>-8.7237659036958071E-3</v>
      </c>
      <c r="G86" s="2">
        <f t="shared" si="13"/>
        <v>7.6104091542485521E-5</v>
      </c>
      <c r="L86" s="2">
        <v>0.53074389682164513</v>
      </c>
      <c r="M86" s="2">
        <f t="shared" si="10"/>
        <v>0.27301549509751288</v>
      </c>
      <c r="N86" s="2">
        <f t="shared" si="14"/>
        <v>7.4537460563340083E-2</v>
      </c>
      <c r="U86">
        <v>58</v>
      </c>
      <c r="V86">
        <v>0.71130268527466645</v>
      </c>
      <c r="W86">
        <v>4.7351047743638408E-2</v>
      </c>
      <c r="Y86">
        <v>58.080808080808083</v>
      </c>
      <c r="Z86">
        <v>0.57958504433401936</v>
      </c>
    </row>
    <row r="87" spans="1:26" x14ac:dyDescent="0.3">
      <c r="A87" s="2">
        <v>0.90909606162409806</v>
      </c>
      <c r="B87" s="2">
        <v>0.64810372943867733</v>
      </c>
      <c r="C87" s="2">
        <f t="shared" si="15"/>
        <v>0.58918854795659159</v>
      </c>
      <c r="D87" s="2">
        <f t="shared" si="11"/>
        <v>0.8264556492604459</v>
      </c>
      <c r="E87" s="2">
        <f t="shared" si="9"/>
        <v>0.76412638491731388</v>
      </c>
      <c r="F87" s="2">
        <f t="shared" si="12"/>
        <v>0.11602265547863655</v>
      </c>
      <c r="G87" s="2">
        <f t="shared" si="13"/>
        <v>1.3461256584314392E-2</v>
      </c>
      <c r="L87" s="2">
        <v>0.53074389682164513</v>
      </c>
      <c r="M87" s="2">
        <f t="shared" si="10"/>
        <v>-0.1173598326170322</v>
      </c>
      <c r="N87" s="2">
        <f t="shared" si="14"/>
        <v>1.3773330311897815E-2</v>
      </c>
      <c r="U87">
        <v>59</v>
      </c>
      <c r="V87">
        <v>0.7370727650967428</v>
      </c>
      <c r="W87">
        <v>5.3150754288893487E-2</v>
      </c>
      <c r="Y87">
        <v>59.090909090909093</v>
      </c>
      <c r="Z87">
        <v>0.59429426000280672</v>
      </c>
    </row>
    <row r="88" spans="1:26" x14ac:dyDescent="0.3">
      <c r="A88" s="2">
        <v>0.56109074718901319</v>
      </c>
      <c r="B88" s="2">
        <v>0.51675555692790198</v>
      </c>
      <c r="C88" s="2">
        <f t="shared" si="15"/>
        <v>0.28994676155075116</v>
      </c>
      <c r="D88" s="2">
        <f t="shared" si="11"/>
        <v>0.31482282658112509</v>
      </c>
      <c r="E88" s="2">
        <f t="shared" si="9"/>
        <v>0.5497255687749647</v>
      </c>
      <c r="F88" s="2">
        <f t="shared" si="12"/>
        <v>3.2970011847062719E-2</v>
      </c>
      <c r="G88" s="2">
        <f t="shared" si="13"/>
        <v>1.087021681195456E-3</v>
      </c>
      <c r="L88" s="2">
        <v>0.53074389682164513</v>
      </c>
      <c r="M88" s="2">
        <f t="shared" si="10"/>
        <v>1.3988339893743151E-2</v>
      </c>
      <c r="N88" s="2">
        <f t="shared" si="14"/>
        <v>1.9567365298288615E-4</v>
      </c>
      <c r="U88">
        <v>60</v>
      </c>
      <c r="V88">
        <v>0.50001016084394678</v>
      </c>
      <c r="W88">
        <v>-7.5077735354646902E-2</v>
      </c>
      <c r="Y88">
        <v>60.101010101010104</v>
      </c>
      <c r="Z88">
        <v>0.61328241223257818</v>
      </c>
    </row>
    <row r="89" spans="1:26" x14ac:dyDescent="0.3">
      <c r="A89" s="2">
        <v>2.3926886226807498E-2</v>
      </c>
      <c r="B89" s="2">
        <v>0.13167173308608576</v>
      </c>
      <c r="C89" s="2">
        <f t="shared" si="15"/>
        <v>3.1504945768373385E-3</v>
      </c>
      <c r="D89" s="2">
        <f t="shared" si="11"/>
        <v>5.7249588451059033E-4</v>
      </c>
      <c r="E89" s="2">
        <f t="shared" si="9"/>
        <v>0.21878703015113779</v>
      </c>
      <c r="F89" s="2">
        <f t="shared" si="12"/>
        <v>8.7115297065052028E-2</v>
      </c>
      <c r="G89" s="2">
        <f t="shared" si="13"/>
        <v>7.5890749827322622E-3</v>
      </c>
      <c r="L89" s="2">
        <v>0.53074389682164513</v>
      </c>
      <c r="M89" s="2">
        <f t="shared" si="10"/>
        <v>0.39907216373555937</v>
      </c>
      <c r="N89" s="2">
        <f t="shared" si="14"/>
        <v>0.1592585918685811</v>
      </c>
      <c r="U89">
        <v>61</v>
      </c>
      <c r="V89">
        <v>0.80415062576776442</v>
      </c>
      <c r="W89">
        <v>6.9561723992397906E-2</v>
      </c>
      <c r="Y89">
        <v>61.111111111111114</v>
      </c>
      <c r="Z89">
        <v>0.63161946937716262</v>
      </c>
    </row>
    <row r="90" spans="1:26" x14ac:dyDescent="0.3">
      <c r="A90" s="2">
        <v>0.81651577231612948</v>
      </c>
      <c r="B90" s="2">
        <v>0.63161946937716262</v>
      </c>
      <c r="C90" s="2">
        <f t="shared" si="15"/>
        <v>0.51572725884839787</v>
      </c>
      <c r="D90" s="2">
        <f t="shared" si="11"/>
        <v>0.66669800644100541</v>
      </c>
      <c r="E90" s="2">
        <f t="shared" si="9"/>
        <v>0.70708906748857148</v>
      </c>
      <c r="F90" s="2">
        <f t="shared" si="12"/>
        <v>7.5469598111408853E-2</v>
      </c>
      <c r="G90" s="2">
        <f t="shared" si="13"/>
        <v>5.6956602390975664E-3</v>
      </c>
      <c r="L90" s="2">
        <v>0.53074389682164513</v>
      </c>
      <c r="M90" s="2">
        <f t="shared" si="10"/>
        <v>-0.10087557255551749</v>
      </c>
      <c r="N90" s="2">
        <f t="shared" si="14"/>
        <v>1.0175881138403474E-2</v>
      </c>
      <c r="U90">
        <v>62</v>
      </c>
      <c r="V90">
        <v>0.31842443229624795</v>
      </c>
      <c r="W90">
        <v>5.2422467926657168E-2</v>
      </c>
      <c r="Y90">
        <v>62.121212121212125</v>
      </c>
      <c r="Z90">
        <v>0.6406855392789762</v>
      </c>
    </row>
    <row r="91" spans="1:26" x14ac:dyDescent="0.3">
      <c r="A91" s="2">
        <v>0.85634176556674302</v>
      </c>
      <c r="B91" s="2">
        <v>0.77307095404179105</v>
      </c>
      <c r="C91" s="2">
        <f t="shared" si="15"/>
        <v>0.66201294569251379</v>
      </c>
      <c r="D91" s="2">
        <f t="shared" si="11"/>
        <v>0.73332121945396667</v>
      </c>
      <c r="E91" s="2">
        <f t="shared" si="9"/>
        <v>0.73162526019146767</v>
      </c>
      <c r="F91" s="2">
        <f t="shared" si="12"/>
        <v>-4.1445693850323373E-2</v>
      </c>
      <c r="G91" s="2">
        <f t="shared" si="13"/>
        <v>1.7177455387347327E-3</v>
      </c>
      <c r="L91" s="2">
        <v>0.53074389682164513</v>
      </c>
      <c r="M91" s="2">
        <f t="shared" si="10"/>
        <v>-0.24232705722014591</v>
      </c>
      <c r="N91" s="2">
        <f t="shared" si="14"/>
        <v>5.8722402660975871E-2</v>
      </c>
      <c r="U91">
        <v>63</v>
      </c>
      <c r="V91">
        <v>0.74695704408668973</v>
      </c>
      <c r="W91">
        <v>3.2060486662959686E-2</v>
      </c>
      <c r="Y91">
        <v>63.131313131313135</v>
      </c>
      <c r="Z91">
        <v>0.64716941986068943</v>
      </c>
    </row>
    <row r="92" spans="1:26" x14ac:dyDescent="0.3">
      <c r="A92" s="2">
        <v>0.26055252619903968</v>
      </c>
      <c r="B92" s="2">
        <v>0.33394306034970411</v>
      </c>
      <c r="C92" s="2">
        <f t="shared" si="15"/>
        <v>8.7009707980753775E-2</v>
      </c>
      <c r="D92" s="2">
        <f t="shared" si="11"/>
        <v>6.7887618908701264E-2</v>
      </c>
      <c r="E92" s="2">
        <f t="shared" si="9"/>
        <v>0.36456851171444798</v>
      </c>
      <c r="F92" s="2">
        <f t="shared" si="12"/>
        <v>3.0625451364743872E-2</v>
      </c>
      <c r="G92" s="2">
        <f t="shared" si="13"/>
        <v>9.379182712942923E-4</v>
      </c>
      <c r="L92" s="2">
        <v>0.53074389682164513</v>
      </c>
      <c r="M92" s="2">
        <f t="shared" si="10"/>
        <v>0.19680083647194102</v>
      </c>
      <c r="N92" s="2">
        <f t="shared" si="14"/>
        <v>3.8730569236055674E-2</v>
      </c>
      <c r="U92">
        <v>64</v>
      </c>
      <c r="V92">
        <v>0.28204673307318101</v>
      </c>
      <c r="W92">
        <v>-4.9797128619837316E-2</v>
      </c>
      <c r="Y92">
        <v>64.141414141414145</v>
      </c>
      <c r="Z92">
        <v>0.64810372943867733</v>
      </c>
    </row>
    <row r="93" spans="1:26" x14ac:dyDescent="0.3">
      <c r="A93" s="2">
        <v>0.47633629017683343</v>
      </c>
      <c r="B93" s="2">
        <v>0.51704788397609558</v>
      </c>
      <c r="C93" s="2">
        <f t="shared" si="15"/>
        <v>0.24628867089695516</v>
      </c>
      <c r="D93" s="2">
        <f t="shared" si="11"/>
        <v>0.22689626133942847</v>
      </c>
      <c r="E93" s="2">
        <f t="shared" si="9"/>
        <v>0.49750962838161011</v>
      </c>
      <c r="F93" s="2">
        <f t="shared" si="12"/>
        <v>-1.9538255594485465E-2</v>
      </c>
      <c r="G93" s="2">
        <f t="shared" si="13"/>
        <v>3.817434316754426E-4</v>
      </c>
      <c r="L93" s="2">
        <v>0.53074389682164513</v>
      </c>
      <c r="M93" s="2">
        <f t="shared" si="10"/>
        <v>1.3696012845549554E-2</v>
      </c>
      <c r="N93" s="2">
        <f t="shared" si="14"/>
        <v>1.8758076786545841E-4</v>
      </c>
      <c r="U93">
        <v>65</v>
      </c>
      <c r="V93">
        <v>0.5463052983818264</v>
      </c>
      <c r="W93">
        <v>-9.4295344359996758E-2</v>
      </c>
      <c r="Y93">
        <v>65.151515151515156</v>
      </c>
      <c r="Z93">
        <v>0.64908190852237502</v>
      </c>
    </row>
    <row r="94" spans="1:26" x14ac:dyDescent="0.3">
      <c r="A94" s="2">
        <v>0.36871659815114866</v>
      </c>
      <c r="B94" s="2">
        <v>0.47498722303252572</v>
      </c>
      <c r="C94" s="2">
        <f t="shared" si="15"/>
        <v>0.17513567304181379</v>
      </c>
      <c r="D94" s="2">
        <f t="shared" si="11"/>
        <v>0.13595192975215564</v>
      </c>
      <c r="E94" s="2">
        <f t="shared" si="9"/>
        <v>0.43120676217179205</v>
      </c>
      <c r="F94" s="2">
        <f t="shared" si="12"/>
        <v>-4.3780460860733672E-2</v>
      </c>
      <c r="G94" s="2">
        <f t="shared" si="13"/>
        <v>1.916728753178233E-3</v>
      </c>
      <c r="L94" s="2">
        <v>0.53074389682164513</v>
      </c>
      <c r="M94" s="2">
        <f t="shared" si="10"/>
        <v>5.5756673789119415E-2</v>
      </c>
      <c r="N94" s="2">
        <f t="shared" si="14"/>
        <v>3.1088066720262762E-3</v>
      </c>
      <c r="U94">
        <v>66</v>
      </c>
      <c r="V94">
        <v>0.29431870153326023</v>
      </c>
      <c r="W94">
        <v>-2.3846357507672222E-2</v>
      </c>
      <c r="Y94">
        <v>66.161616161616166</v>
      </c>
      <c r="Z94">
        <v>0.65212629441323466</v>
      </c>
    </row>
    <row r="95" spans="1:26" x14ac:dyDescent="0.3">
      <c r="A95" s="2">
        <v>0.79999835530122965</v>
      </c>
      <c r="B95" s="2">
        <v>0.73453861724285541</v>
      </c>
      <c r="C95" s="2">
        <f t="shared" si="15"/>
        <v>0.58762968569952378</v>
      </c>
      <c r="D95" s="2">
        <f t="shared" si="11"/>
        <v>0.63999736848467248</v>
      </c>
      <c r="E95" s="2">
        <f t="shared" si="9"/>
        <v>0.69691293643061125</v>
      </c>
      <c r="F95" s="2">
        <f t="shared" si="12"/>
        <v>-3.7625680812244156E-2</v>
      </c>
      <c r="G95" s="2">
        <f t="shared" si="13"/>
        <v>1.4156918565848781E-3</v>
      </c>
      <c r="L95" s="2">
        <v>0.53074389682164513</v>
      </c>
      <c r="M95" s="2">
        <f t="shared" si="10"/>
        <v>-0.20379472042121027</v>
      </c>
      <c r="N95" s="2">
        <f t="shared" si="14"/>
        <v>4.1532288071559259E-2</v>
      </c>
      <c r="U95">
        <v>67</v>
      </c>
      <c r="V95">
        <v>0.37737789284941914</v>
      </c>
      <c r="W95">
        <v>-7.0008423571457645E-2</v>
      </c>
      <c r="Y95">
        <v>67.171717171717177</v>
      </c>
      <c r="Z95">
        <v>0.65696374730766405</v>
      </c>
    </row>
    <row r="96" spans="1:26" x14ac:dyDescent="0.3">
      <c r="A96" s="2">
        <v>0.95699065867861133</v>
      </c>
      <c r="B96" s="2">
        <v>0.80097678521929949</v>
      </c>
      <c r="C96" s="2">
        <f t="shared" si="15"/>
        <v>0.76652730127329405</v>
      </c>
      <c r="D96" s="2">
        <f t="shared" si="11"/>
        <v>0.91583112079812234</v>
      </c>
      <c r="E96" s="2">
        <f t="shared" si="9"/>
        <v>0.79363352251366248</v>
      </c>
      <c r="F96" s="2">
        <f t="shared" si="12"/>
        <v>-7.3432627056370103E-3</v>
      </c>
      <c r="G96" s="2">
        <f t="shared" si="13"/>
        <v>5.3923507163999387E-5</v>
      </c>
      <c r="L96" s="2">
        <v>0.53074389682164513</v>
      </c>
      <c r="M96" s="2">
        <f t="shared" si="10"/>
        <v>-0.27023288839765436</v>
      </c>
      <c r="N96" s="2">
        <f t="shared" si="14"/>
        <v>7.3025813971739115E-2</v>
      </c>
      <c r="U96">
        <v>68</v>
      </c>
      <c r="V96">
        <v>0.63212617182798003</v>
      </c>
      <c r="W96">
        <v>0.10847020210703384</v>
      </c>
      <c r="Y96">
        <v>68.181818181818187</v>
      </c>
      <c r="Z96">
        <v>0.66622186483878487</v>
      </c>
    </row>
    <row r="97" spans="1:26" x14ac:dyDescent="0.3">
      <c r="A97" s="2">
        <v>0.60657373835740036</v>
      </c>
      <c r="B97" s="2">
        <v>0.61328241223257818</v>
      </c>
      <c r="C97" s="2">
        <f t="shared" si="15"/>
        <v>0.37200100545675924</v>
      </c>
      <c r="D97" s="2">
        <f t="shared" si="11"/>
        <v>0.36793170006487197</v>
      </c>
      <c r="E97" s="2">
        <f t="shared" si="9"/>
        <v>0.57774695242230112</v>
      </c>
      <c r="F97" s="2">
        <f t="shared" si="12"/>
        <v>-3.5535459810277059E-2</v>
      </c>
      <c r="G97" s="2">
        <f t="shared" si="13"/>
        <v>1.2627689039278161E-3</v>
      </c>
      <c r="L97" s="2">
        <v>0.53074389682164513</v>
      </c>
      <c r="M97" s="2">
        <f t="shared" si="10"/>
        <v>-8.2538515410933044E-2</v>
      </c>
      <c r="N97" s="2">
        <f t="shared" si="14"/>
        <v>6.8126065262408319E-3</v>
      </c>
      <c r="U97">
        <v>69</v>
      </c>
      <c r="V97">
        <v>0.59302443273924776</v>
      </c>
      <c r="W97">
        <v>6.3939314568416283E-2</v>
      </c>
      <c r="Y97">
        <v>69.191919191919197</v>
      </c>
      <c r="Z97">
        <v>0.67077018043836301</v>
      </c>
    </row>
    <row r="98" spans="1:26" x14ac:dyDescent="0.3">
      <c r="A98" s="2">
        <v>0.87287495648026114</v>
      </c>
      <c r="B98" s="2">
        <v>0.8683936499477668</v>
      </c>
      <c r="C98" s="2">
        <f t="shared" si="15"/>
        <v>0.75799906940589212</v>
      </c>
      <c r="D98" s="2">
        <f t="shared" si="11"/>
        <v>0.76191068965041775</v>
      </c>
      <c r="E98" s="2">
        <f t="shared" si="9"/>
        <v>0.74181110931003558</v>
      </c>
      <c r="F98" s="2">
        <f t="shared" si="12"/>
        <v>-0.12658254063773122</v>
      </c>
      <c r="G98" s="2">
        <f t="shared" si="13"/>
        <v>1.6023139594302876E-2</v>
      </c>
      <c r="L98" s="2">
        <v>0.53074389682164513</v>
      </c>
      <c r="M98" s="2">
        <f t="shared" si="10"/>
        <v>-0.33764975312612167</v>
      </c>
      <c r="N98" s="2">
        <f t="shared" si="14"/>
        <v>0.1140073557861309</v>
      </c>
      <c r="U98">
        <v>70</v>
      </c>
      <c r="V98">
        <v>0.46361212461779916</v>
      </c>
      <c r="W98">
        <v>-8.605435617100976E-3</v>
      </c>
      <c r="Y98">
        <v>70.202020202020208</v>
      </c>
      <c r="Z98">
        <v>0.67150255200813191</v>
      </c>
    </row>
    <row r="99" spans="1:26" x14ac:dyDescent="0.3">
      <c r="A99" s="2">
        <v>0.71668752597343455</v>
      </c>
      <c r="B99" s="2">
        <v>0.67150255200813191</v>
      </c>
      <c r="C99" s="2">
        <f t="shared" si="15"/>
        <v>0.4812575026835556</v>
      </c>
      <c r="D99" s="2">
        <f t="shared" si="11"/>
        <v>0.51364100988592243</v>
      </c>
      <c r="E99" s="2">
        <f t="shared" si="9"/>
        <v>0.64558639324154998</v>
      </c>
      <c r="F99" s="2">
        <f t="shared" si="12"/>
        <v>-2.5916158766581932E-2</v>
      </c>
      <c r="G99" s="2">
        <f t="shared" si="13"/>
        <v>6.7164728521468145E-4</v>
      </c>
      <c r="L99" s="2">
        <v>0.53074389682164513</v>
      </c>
      <c r="M99" s="2">
        <f t="shared" si="10"/>
        <v>-0.14075865518648678</v>
      </c>
      <c r="N99" s="2">
        <f t="shared" si="14"/>
        <v>1.981299900990828E-2</v>
      </c>
      <c r="U99">
        <v>71</v>
      </c>
      <c r="V99">
        <v>0.53292066548727268</v>
      </c>
      <c r="W99">
        <v>-9.1105548234727274E-2</v>
      </c>
      <c r="Y99">
        <v>71.212121212121218</v>
      </c>
      <c r="Z99">
        <v>0.67884863511012072</v>
      </c>
    </row>
    <row r="100" spans="1:26" x14ac:dyDescent="0.3">
      <c r="A100" s="2">
        <v>0.46722425337628815</v>
      </c>
      <c r="B100" s="2">
        <v>0.51723516820435411</v>
      </c>
      <c r="C100" s="2">
        <f t="shared" si="15"/>
        <v>0.24166481528423817</v>
      </c>
      <c r="D100" s="2">
        <f t="shared" si="11"/>
        <v>0.21829850294302991</v>
      </c>
      <c r="E100" s="2">
        <f t="shared" si="9"/>
        <v>0.49189584018435989</v>
      </c>
      <c r="F100" s="2">
        <f t="shared" si="12"/>
        <v>-2.5339328019994223E-2</v>
      </c>
      <c r="G100" s="2">
        <f t="shared" si="13"/>
        <v>6.4208154450486434E-4</v>
      </c>
      <c r="L100" s="2">
        <v>0.53074389682164513</v>
      </c>
      <c r="M100" s="2">
        <f t="shared" si="10"/>
        <v>1.3508728617291021E-2</v>
      </c>
      <c r="N100" s="2">
        <f t="shared" si="14"/>
        <v>1.8248574885561738E-4</v>
      </c>
      <c r="U100">
        <v>72</v>
      </c>
      <c r="V100">
        <v>0.45528914353024341</v>
      </c>
      <c r="W100">
        <v>4.2031885384072099E-2</v>
      </c>
      <c r="Y100">
        <v>72.222222222222229</v>
      </c>
      <c r="Z100">
        <v>0.68255838105838473</v>
      </c>
    </row>
    <row r="101" spans="1:26" x14ac:dyDescent="0.3">
      <c r="A101" s="2">
        <v>0.41164223720157911</v>
      </c>
      <c r="B101" s="2">
        <v>0.35653122715166752</v>
      </c>
      <c r="C101" s="2">
        <f t="shared" si="15"/>
        <v>0.14676331197693679</v>
      </c>
      <c r="D101" s="2">
        <f t="shared" si="11"/>
        <v>0.16944933144832111</v>
      </c>
      <c r="E101" s="2">
        <f t="shared" si="9"/>
        <v>0.45765259981879419</v>
      </c>
      <c r="F101" s="2">
        <f t="shared" si="12"/>
        <v>0.10112137266712667</v>
      </c>
      <c r="G101" s="2">
        <f t="shared" si="13"/>
        <v>1.0225532010083914E-2</v>
      </c>
      <c r="L101" s="2">
        <v>0.53074389682164513</v>
      </c>
      <c r="M101" s="2">
        <f t="shared" si="10"/>
        <v>0.17421266966997762</v>
      </c>
      <c r="N101" s="2">
        <f t="shared" si="14"/>
        <v>3.035005427354074E-2</v>
      </c>
      <c r="U101">
        <v>73</v>
      </c>
      <c r="V101">
        <v>0.69705139613051958</v>
      </c>
      <c r="W101">
        <v>-2.6281215692156579E-2</v>
      </c>
      <c r="Y101">
        <v>73.232323232323239</v>
      </c>
      <c r="Z101">
        <v>0.6891019966363584</v>
      </c>
    </row>
    <row r="102" spans="1:26" x14ac:dyDescent="0.3">
      <c r="U102">
        <v>74</v>
      </c>
      <c r="V102">
        <v>0.7383561045546172</v>
      </c>
      <c r="W102">
        <v>5.9151265924660468E-2</v>
      </c>
      <c r="Y102">
        <v>74.242424242424249</v>
      </c>
      <c r="Z102">
        <v>0.70275148391952413</v>
      </c>
    </row>
    <row r="103" spans="1:26" x14ac:dyDescent="0.3">
      <c r="U103">
        <v>75</v>
      </c>
      <c r="V103">
        <v>0.71733258724068683</v>
      </c>
      <c r="W103">
        <v>-4.2627351338759834E-3</v>
      </c>
      <c r="Y103">
        <v>75.25252525252526</v>
      </c>
      <c r="Z103">
        <v>0.71306985210681084</v>
      </c>
    </row>
    <row r="104" spans="1:26" x14ac:dyDescent="0.3">
      <c r="U104">
        <v>76</v>
      </c>
      <c r="V104">
        <v>0.25392109444930494</v>
      </c>
      <c r="W104">
        <v>-2.6425709792315899E-2</v>
      </c>
      <c r="Y104">
        <v>76.26262626262627</v>
      </c>
      <c r="Z104">
        <v>0.7151493458843915</v>
      </c>
    </row>
    <row r="105" spans="1:26" x14ac:dyDescent="0.3">
      <c r="U105">
        <v>77</v>
      </c>
      <c r="V105">
        <v>0.55367212574687397</v>
      </c>
      <c r="W105">
        <v>-4.5719213866211916E-2</v>
      </c>
      <c r="Y105">
        <v>77.27272727272728</v>
      </c>
      <c r="Z105">
        <v>0.72127953292732239</v>
      </c>
    </row>
    <row r="106" spans="1:26" x14ac:dyDescent="0.3">
      <c r="U106">
        <v>78</v>
      </c>
      <c r="V106">
        <v>0.22086387563765722</v>
      </c>
      <c r="W106">
        <v>-2.0871748709852062E-2</v>
      </c>
      <c r="Y106">
        <v>78.282828282828291</v>
      </c>
      <c r="Z106">
        <v>0.73453861724285541</v>
      </c>
    </row>
    <row r="107" spans="1:26" x14ac:dyDescent="0.3">
      <c r="U107">
        <v>79</v>
      </c>
      <c r="V107">
        <v>0.36826129030403765</v>
      </c>
      <c r="W107">
        <v>-2.9496295129228356E-2</v>
      </c>
      <c r="Y107">
        <v>79.292929292929301</v>
      </c>
      <c r="Z107">
        <v>0.73627973022094784</v>
      </c>
    </row>
    <row r="108" spans="1:26" x14ac:dyDescent="0.3">
      <c r="U108">
        <v>80</v>
      </c>
      <c r="V108">
        <v>0.77136824983422603</v>
      </c>
      <c r="W108">
        <v>-3.4087698648241682E-2</v>
      </c>
      <c r="Y108">
        <v>80.303030303030312</v>
      </c>
      <c r="Z108">
        <v>0.73728055118598435</v>
      </c>
    </row>
    <row r="109" spans="1:26" x14ac:dyDescent="0.3">
      <c r="U109">
        <v>81</v>
      </c>
      <c r="V109">
        <v>0.70739236146098783</v>
      </c>
      <c r="W109">
        <v>-6.6706822182011627E-2</v>
      </c>
      <c r="Y109">
        <v>81.313131313131322</v>
      </c>
      <c r="Z109">
        <v>0.74059637393501387</v>
      </c>
    </row>
    <row r="110" spans="1:26" x14ac:dyDescent="0.3">
      <c r="U110">
        <v>82</v>
      </c>
      <c r="V110">
        <v>0.21631780598652744</v>
      </c>
      <c r="W110">
        <v>4.7498096447750549E-2</v>
      </c>
      <c r="Y110">
        <v>82.323232323232332</v>
      </c>
      <c r="Z110">
        <v>0.74850171721692704</v>
      </c>
    </row>
    <row r="111" spans="1:26" x14ac:dyDescent="0.3">
      <c r="U111">
        <v>83</v>
      </c>
      <c r="V111">
        <v>0.2545989102639229</v>
      </c>
      <c r="W111">
        <v>5.3560302844467222E-2</v>
      </c>
      <c r="Y111">
        <v>83.333333333333343</v>
      </c>
      <c r="Z111">
        <v>0.74947773739281165</v>
      </c>
    </row>
    <row r="112" spans="1:26" x14ac:dyDescent="0.3">
      <c r="U112">
        <v>84</v>
      </c>
      <c r="V112">
        <v>0.24982580001722343</v>
      </c>
      <c r="W112">
        <v>7.9026017069088184E-3</v>
      </c>
      <c r="Y112">
        <v>84.343434343434353</v>
      </c>
      <c r="Z112">
        <v>0.75865373301830485</v>
      </c>
    </row>
    <row r="113" spans="21:26" x14ac:dyDescent="0.3">
      <c r="U113">
        <v>85</v>
      </c>
      <c r="V113">
        <v>0.76462546900083761</v>
      </c>
      <c r="W113">
        <v>-0.11652173956216028</v>
      </c>
      <c r="Y113">
        <v>85.353535353535364</v>
      </c>
      <c r="Z113">
        <v>0.76402754131303452</v>
      </c>
    </row>
    <row r="114" spans="21:26" x14ac:dyDescent="0.3">
      <c r="U114">
        <v>86</v>
      </c>
      <c r="V114">
        <v>0.55035870706852297</v>
      </c>
      <c r="W114">
        <v>-3.3603150140620985E-2</v>
      </c>
      <c r="Y114">
        <v>86.363636363636374</v>
      </c>
      <c r="Z114">
        <v>0.77307095404179105</v>
      </c>
    </row>
    <row r="115" spans="21:26" x14ac:dyDescent="0.3">
      <c r="U115">
        <v>87</v>
      </c>
      <c r="V115">
        <v>0.21962708791992708</v>
      </c>
      <c r="W115">
        <v>-8.7955354833841315E-2</v>
      </c>
      <c r="Y115">
        <v>87.373737373737384</v>
      </c>
      <c r="Z115">
        <v>0.77901753074964941</v>
      </c>
    </row>
    <row r="116" spans="21:26" x14ac:dyDescent="0.3">
      <c r="U116">
        <v>88</v>
      </c>
      <c r="V116">
        <v>0.70762381418135178</v>
      </c>
      <c r="W116">
        <v>-7.6004344804189161E-2</v>
      </c>
      <c r="Y116">
        <v>88.383838383838395</v>
      </c>
      <c r="Z116">
        <v>0.78195236816211977</v>
      </c>
    </row>
    <row r="117" spans="21:26" x14ac:dyDescent="0.3">
      <c r="U117">
        <v>89</v>
      </c>
      <c r="V117">
        <v>0.73214466561834612</v>
      </c>
      <c r="W117">
        <v>4.0926288423444923E-2</v>
      </c>
      <c r="Y117">
        <v>89.393939393939405</v>
      </c>
      <c r="Z117">
        <v>0.79022351938563629</v>
      </c>
    </row>
    <row r="118" spans="21:26" x14ac:dyDescent="0.3">
      <c r="U118">
        <v>90</v>
      </c>
      <c r="V118">
        <v>0.3653174195440706</v>
      </c>
      <c r="W118">
        <v>-3.1374359194366486E-2</v>
      </c>
      <c r="Y118">
        <v>90.404040404040416</v>
      </c>
      <c r="Z118">
        <v>0.79750737047927767</v>
      </c>
    </row>
    <row r="119" spans="21:26" x14ac:dyDescent="0.3">
      <c r="U119">
        <v>91</v>
      </c>
      <c r="V119">
        <v>0.49817541471619087</v>
      </c>
      <c r="W119">
        <v>1.8872469259904712E-2</v>
      </c>
      <c r="Y119">
        <v>91.414141414141426</v>
      </c>
      <c r="Z119">
        <v>0.80097678521929949</v>
      </c>
    </row>
    <row r="120" spans="21:26" x14ac:dyDescent="0.3">
      <c r="U120">
        <v>92</v>
      </c>
      <c r="V120">
        <v>0.43191400440431538</v>
      </c>
      <c r="W120">
        <v>4.3073218628210341E-2</v>
      </c>
      <c r="Y120">
        <v>92.424242424242436</v>
      </c>
      <c r="Z120">
        <v>0.81159721683488995</v>
      </c>
    </row>
    <row r="121" spans="21:26" x14ac:dyDescent="0.3">
      <c r="U121">
        <v>93</v>
      </c>
      <c r="V121">
        <v>0.69745404575406977</v>
      </c>
      <c r="W121">
        <v>3.7084571488785634E-2</v>
      </c>
      <c r="Y121">
        <v>93.434343434343447</v>
      </c>
      <c r="Z121">
        <v>0.82071530506317469</v>
      </c>
    </row>
    <row r="122" spans="21:26" x14ac:dyDescent="0.3">
      <c r="U122">
        <v>94</v>
      </c>
      <c r="V122">
        <v>0.79411415724567691</v>
      </c>
      <c r="W122">
        <v>6.8626279736225815E-3</v>
      </c>
      <c r="Y122">
        <v>94.444444444444457</v>
      </c>
      <c r="Z122">
        <v>0.84620067172306823</v>
      </c>
    </row>
    <row r="123" spans="21:26" x14ac:dyDescent="0.3">
      <c r="U123">
        <v>95</v>
      </c>
      <c r="V123">
        <v>0.57836257033269811</v>
      </c>
      <c r="W123">
        <v>3.4919841899880066E-2</v>
      </c>
      <c r="Y123">
        <v>95.454545454545467</v>
      </c>
      <c r="Z123">
        <v>0.86794130428388083</v>
      </c>
    </row>
    <row r="124" spans="21:26" x14ac:dyDescent="0.3">
      <c r="U124">
        <v>96</v>
      </c>
      <c r="V124">
        <v>0.74232414603001406</v>
      </c>
      <c r="W124">
        <v>0.12606950391775273</v>
      </c>
      <c r="Y124">
        <v>96.464646464646478</v>
      </c>
      <c r="Z124">
        <v>0.8683936499477668</v>
      </c>
    </row>
    <row r="125" spans="21:26" x14ac:dyDescent="0.3">
      <c r="U125">
        <v>97</v>
      </c>
      <c r="V125">
        <v>0.64615959451001515</v>
      </c>
      <c r="W125">
        <v>2.5342957498116769E-2</v>
      </c>
      <c r="Y125">
        <v>97.474747474747474</v>
      </c>
      <c r="Z125">
        <v>0.87371234976016232</v>
      </c>
    </row>
    <row r="126" spans="21:26" x14ac:dyDescent="0.3">
      <c r="U126">
        <v>98</v>
      </c>
      <c r="V126">
        <v>0.49256513654262257</v>
      </c>
      <c r="W126">
        <v>2.467003166173154E-2</v>
      </c>
      <c r="Y126">
        <v>98.484848484848484</v>
      </c>
      <c r="Z126">
        <v>0.88956105778770467</v>
      </c>
    </row>
    <row r="127" spans="21:26" ht="15" thickBot="1" x14ac:dyDescent="0.35">
      <c r="U127" s="3">
        <v>99</v>
      </c>
      <c r="V127" s="3">
        <v>0.45834330677902579</v>
      </c>
      <c r="W127" s="3">
        <v>-0.10181207962735828</v>
      </c>
      <c r="Y127" s="3">
        <v>99.494949494949495</v>
      </c>
      <c r="Z127" s="3">
        <v>0.91147759087987901</v>
      </c>
    </row>
  </sheetData>
  <sortState xmlns:xlrd2="http://schemas.microsoft.com/office/spreadsheetml/2017/richdata2" ref="Z29:Z127">
    <sortCondition ref="Z29"/>
  </sortState>
  <pageMargins left="0.7" right="0.7" top="0.75" bottom="0.75" header="0.3" footer="0.3"/>
  <pageSetup orientation="portrait" r:id="rId1"/>
  <drawing r:id="rId2"/>
  <extLst>
    <ext xmlns:x15="http://schemas.microsoft.com/office/spreadsheetml/2010/11/main" uri="{F7C9EE02-42E1-4005-9D12-6889AFFD525C}">
      <x15:webExtensions xmlns:xm="http://schemas.microsoft.com/office/excel/2006/main">
        <x15:webExtension appRef="{1A37A4DD-1421-4733-BD45-E6AF68A3D91C}">
          <xm:f>Sheet1!1:1048576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Singh</dc:creator>
  <cp:lastModifiedBy>HP</cp:lastModifiedBy>
  <dcterms:created xsi:type="dcterms:W3CDTF">2015-06-05T18:17:20Z</dcterms:created>
  <dcterms:modified xsi:type="dcterms:W3CDTF">2024-08-22T10:29:32Z</dcterms:modified>
</cp:coreProperties>
</file>