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repos\DS203\Assignment_2\"/>
    </mc:Choice>
  </mc:AlternateContent>
  <xr:revisionPtr revIDLastSave="0" documentId="13_ncr:1_{03FE27FF-3FA6-48AD-A012-557A845C20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B109" i="2"/>
  <c r="B108" i="2"/>
  <c r="B107" i="2"/>
  <c r="B106" i="2"/>
  <c r="A104" i="2"/>
  <c r="J17" i="1"/>
  <c r="J4" i="1" l="1"/>
  <c r="D73" i="1" l="1"/>
  <c r="D37" i="1"/>
  <c r="D67" i="1"/>
  <c r="D55" i="1"/>
  <c r="D49" i="1"/>
  <c r="D36" i="1"/>
  <c r="D72" i="1"/>
  <c r="D19" i="1"/>
  <c r="D14" i="1"/>
  <c r="D31" i="1"/>
  <c r="D91" i="1"/>
  <c r="D13" i="1"/>
  <c r="D85" i="1"/>
  <c r="D98" i="1"/>
  <c r="D62" i="1"/>
  <c r="D26" i="1"/>
  <c r="D97" i="1"/>
  <c r="D61" i="1"/>
  <c r="D25" i="1"/>
  <c r="D24" i="1"/>
  <c r="D50" i="1"/>
  <c r="D84" i="1"/>
  <c r="D48" i="1"/>
  <c r="D12" i="1"/>
  <c r="D60" i="1"/>
  <c r="D79" i="1"/>
  <c r="D43" i="1"/>
  <c r="D7" i="1"/>
  <c r="D96" i="1"/>
  <c r="D86" i="1"/>
  <c r="D74" i="1"/>
  <c r="D38" i="1"/>
  <c r="D95" i="1"/>
  <c r="D83" i="1"/>
  <c r="D71" i="1"/>
  <c r="D59" i="1"/>
  <c r="D47" i="1"/>
  <c r="D35" i="1"/>
  <c r="D23" i="1"/>
  <c r="D11" i="1"/>
  <c r="D94" i="1"/>
  <c r="D82" i="1"/>
  <c r="D70" i="1"/>
  <c r="D58" i="1"/>
  <c r="D46" i="1"/>
  <c r="D34" i="1"/>
  <c r="D22" i="1"/>
  <c r="D10" i="1"/>
  <c r="D93" i="1"/>
  <c r="D81" i="1"/>
  <c r="D69" i="1"/>
  <c r="D57" i="1"/>
  <c r="D45" i="1"/>
  <c r="D33" i="1"/>
  <c r="D21" i="1"/>
  <c r="D9" i="1"/>
  <c r="D92" i="1"/>
  <c r="D80" i="1"/>
  <c r="D68" i="1"/>
  <c r="D56" i="1"/>
  <c r="D44" i="1"/>
  <c r="D32" i="1"/>
  <c r="D20" i="1"/>
  <c r="D8" i="1"/>
  <c r="D90" i="1"/>
  <c r="D66" i="1"/>
  <c r="D54" i="1"/>
  <c r="D42" i="1"/>
  <c r="D6" i="1"/>
  <c r="D101" i="1"/>
  <c r="D89" i="1"/>
  <c r="D77" i="1"/>
  <c r="D65" i="1"/>
  <c r="D53" i="1"/>
  <c r="D41" i="1"/>
  <c r="D29" i="1"/>
  <c r="D17" i="1"/>
  <c r="D5" i="1"/>
  <c r="D30" i="1"/>
  <c r="D100" i="1"/>
  <c r="D88" i="1"/>
  <c r="D76" i="1"/>
  <c r="D64" i="1"/>
  <c r="D52" i="1"/>
  <c r="D40" i="1"/>
  <c r="D28" i="1"/>
  <c r="D16" i="1"/>
  <c r="D4" i="1"/>
  <c r="D78" i="1"/>
  <c r="D18" i="1"/>
  <c r="D99" i="1"/>
  <c r="D87" i="1"/>
  <c r="D75" i="1"/>
  <c r="D63" i="1"/>
  <c r="D51" i="1"/>
  <c r="D39" i="1"/>
  <c r="D27" i="1"/>
  <c r="D15" i="1"/>
  <c r="D3" i="1"/>
  <c r="D2" i="1"/>
  <c r="C99" i="1"/>
  <c r="C87" i="1"/>
  <c r="C75" i="1"/>
  <c r="C63" i="1"/>
  <c r="C51" i="1"/>
  <c r="C98" i="1"/>
  <c r="C86" i="1"/>
  <c r="C50" i="1"/>
  <c r="C39" i="1"/>
  <c r="C38" i="1"/>
  <c r="C27" i="1"/>
  <c r="C15" i="1"/>
  <c r="C49" i="1"/>
  <c r="C85" i="1"/>
  <c r="C37" i="1"/>
  <c r="C74" i="1"/>
  <c r="C26" i="1"/>
  <c r="C97" i="1"/>
  <c r="C73" i="1"/>
  <c r="C25" i="1"/>
  <c r="C62" i="1"/>
  <c r="C14" i="1"/>
  <c r="C61" i="1"/>
  <c r="C13" i="1"/>
  <c r="C96" i="1"/>
  <c r="C12" i="1"/>
  <c r="C83" i="1"/>
  <c r="C35" i="1"/>
  <c r="C34" i="1"/>
  <c r="C72" i="1"/>
  <c r="C24" i="1"/>
  <c r="C47" i="1"/>
  <c r="C70" i="1"/>
  <c r="C93" i="1"/>
  <c r="C57" i="1"/>
  <c r="C33" i="1"/>
  <c r="C92" i="1"/>
  <c r="C56" i="1"/>
  <c r="C32" i="1"/>
  <c r="C8" i="1"/>
  <c r="C91" i="1"/>
  <c r="C79" i="1"/>
  <c r="C67" i="1"/>
  <c r="C55" i="1"/>
  <c r="C43" i="1"/>
  <c r="C31" i="1"/>
  <c r="C19" i="1"/>
  <c r="C7" i="1"/>
  <c r="C84" i="1"/>
  <c r="C48" i="1"/>
  <c r="C95" i="1"/>
  <c r="C59" i="1"/>
  <c r="C23" i="1"/>
  <c r="C94" i="1"/>
  <c r="C82" i="1"/>
  <c r="C46" i="1"/>
  <c r="C10" i="1"/>
  <c r="C69" i="1"/>
  <c r="C45" i="1"/>
  <c r="C21" i="1"/>
  <c r="C80" i="1"/>
  <c r="C68" i="1"/>
  <c r="C44" i="1"/>
  <c r="C20" i="1"/>
  <c r="C90" i="1"/>
  <c r="C78" i="1"/>
  <c r="C66" i="1"/>
  <c r="C54" i="1"/>
  <c r="C42" i="1"/>
  <c r="C30" i="1"/>
  <c r="C18" i="1"/>
  <c r="C6" i="1"/>
  <c r="C101" i="1"/>
  <c r="C89" i="1"/>
  <c r="C77" i="1"/>
  <c r="C65" i="1"/>
  <c r="C53" i="1"/>
  <c r="C41" i="1"/>
  <c r="C29" i="1"/>
  <c r="C17" i="1"/>
  <c r="C5" i="1"/>
  <c r="C60" i="1"/>
  <c r="C36" i="1"/>
  <c r="C71" i="1"/>
  <c r="C11" i="1"/>
  <c r="C58" i="1"/>
  <c r="C22" i="1"/>
  <c r="C81" i="1"/>
  <c r="C9" i="1"/>
  <c r="C100" i="1"/>
  <c r="C88" i="1"/>
  <c r="C76" i="1"/>
  <c r="C64" i="1"/>
  <c r="C52" i="1"/>
  <c r="C40" i="1"/>
  <c r="C28" i="1"/>
  <c r="C16" i="1"/>
  <c r="C4" i="1"/>
  <c r="C3" i="1"/>
  <c r="C2" i="1"/>
  <c r="J3" i="1"/>
  <c r="J7" i="1" l="1"/>
  <c r="I15" i="1" a="1"/>
  <c r="I15" i="1" s="1"/>
  <c r="J6" i="1"/>
  <c r="J5" i="1"/>
  <c r="J9" i="1" l="1"/>
  <c r="J10" i="1"/>
  <c r="E3" i="1" l="1"/>
  <c r="F3" i="1" s="1"/>
  <c r="G3" i="1" s="1"/>
  <c r="E15" i="1"/>
  <c r="F15" i="1" s="1"/>
  <c r="G15" i="1" s="1"/>
  <c r="E27" i="1"/>
  <c r="F27" i="1" s="1"/>
  <c r="G27" i="1" s="1"/>
  <c r="E39" i="1"/>
  <c r="F39" i="1" s="1"/>
  <c r="G39" i="1" s="1"/>
  <c r="E51" i="1"/>
  <c r="F51" i="1" s="1"/>
  <c r="G51" i="1" s="1"/>
  <c r="E63" i="1"/>
  <c r="F63" i="1" s="1"/>
  <c r="G63" i="1" s="1"/>
  <c r="E75" i="1"/>
  <c r="F75" i="1" s="1"/>
  <c r="G75" i="1" s="1"/>
  <c r="E87" i="1"/>
  <c r="F87" i="1" s="1"/>
  <c r="G87" i="1" s="1"/>
  <c r="E99" i="1"/>
  <c r="F99" i="1" s="1"/>
  <c r="G99" i="1" s="1"/>
  <c r="E43" i="1"/>
  <c r="F43" i="1" s="1"/>
  <c r="G43" i="1" s="1"/>
  <c r="E91" i="1"/>
  <c r="F91" i="1" s="1"/>
  <c r="G91" i="1" s="1"/>
  <c r="E68" i="1"/>
  <c r="F68" i="1" s="1"/>
  <c r="G68" i="1" s="1"/>
  <c r="E92" i="1"/>
  <c r="F92" i="1" s="1"/>
  <c r="G92" i="1" s="1"/>
  <c r="E9" i="1"/>
  <c r="F9" i="1" s="1"/>
  <c r="G9" i="1" s="1"/>
  <c r="E81" i="1"/>
  <c r="F81" i="1" s="1"/>
  <c r="G81" i="1" s="1"/>
  <c r="E10" i="1"/>
  <c r="F10" i="1" s="1"/>
  <c r="G10" i="1" s="1"/>
  <c r="E46" i="1"/>
  <c r="F46" i="1" s="1"/>
  <c r="G46" i="1" s="1"/>
  <c r="E94" i="1"/>
  <c r="F94" i="1" s="1"/>
  <c r="G94" i="1" s="1"/>
  <c r="E11" i="1"/>
  <c r="F11" i="1" s="1"/>
  <c r="G11" i="1" s="1"/>
  <c r="E59" i="1"/>
  <c r="F59" i="1" s="1"/>
  <c r="G59" i="1" s="1"/>
  <c r="E71" i="1"/>
  <c r="F71" i="1" s="1"/>
  <c r="G71" i="1" s="1"/>
  <c r="E36" i="1"/>
  <c r="F36" i="1" s="1"/>
  <c r="G36" i="1" s="1"/>
  <c r="E84" i="1"/>
  <c r="F84" i="1" s="1"/>
  <c r="G84" i="1" s="1"/>
  <c r="E13" i="1"/>
  <c r="F13" i="1" s="1"/>
  <c r="G13" i="1" s="1"/>
  <c r="E49" i="1"/>
  <c r="F49" i="1" s="1"/>
  <c r="G49" i="1" s="1"/>
  <c r="E85" i="1"/>
  <c r="F85" i="1" s="1"/>
  <c r="G85" i="1" s="1"/>
  <c r="E50" i="1"/>
  <c r="F50" i="1" s="1"/>
  <c r="G50" i="1" s="1"/>
  <c r="E74" i="1"/>
  <c r="F74" i="1" s="1"/>
  <c r="G74" i="1" s="1"/>
  <c r="E4" i="1"/>
  <c r="F4" i="1" s="1"/>
  <c r="G4" i="1" s="1"/>
  <c r="E16" i="1"/>
  <c r="F16" i="1" s="1"/>
  <c r="G16" i="1" s="1"/>
  <c r="E28" i="1"/>
  <c r="F28" i="1" s="1"/>
  <c r="G28" i="1" s="1"/>
  <c r="E40" i="1"/>
  <c r="F40" i="1" s="1"/>
  <c r="G40" i="1" s="1"/>
  <c r="E52" i="1"/>
  <c r="F52" i="1" s="1"/>
  <c r="G52" i="1" s="1"/>
  <c r="E64" i="1"/>
  <c r="F64" i="1" s="1"/>
  <c r="G64" i="1" s="1"/>
  <c r="E76" i="1"/>
  <c r="F76" i="1" s="1"/>
  <c r="G76" i="1" s="1"/>
  <c r="E88" i="1"/>
  <c r="F88" i="1" s="1"/>
  <c r="G88" i="1" s="1"/>
  <c r="E100" i="1"/>
  <c r="F100" i="1" s="1"/>
  <c r="G100" i="1" s="1"/>
  <c r="E31" i="1"/>
  <c r="F31" i="1" s="1"/>
  <c r="G31" i="1" s="1"/>
  <c r="E79" i="1"/>
  <c r="F79" i="1" s="1"/>
  <c r="G79" i="1" s="1"/>
  <c r="E56" i="1"/>
  <c r="F56" i="1" s="1"/>
  <c r="G56" i="1" s="1"/>
  <c r="E21" i="1"/>
  <c r="F21" i="1" s="1"/>
  <c r="G21" i="1" s="1"/>
  <c r="E93" i="1"/>
  <c r="F93" i="1" s="1"/>
  <c r="G93" i="1" s="1"/>
  <c r="E34" i="1"/>
  <c r="F34" i="1" s="1"/>
  <c r="G34" i="1" s="1"/>
  <c r="E70" i="1"/>
  <c r="F70" i="1" s="1"/>
  <c r="G70" i="1" s="1"/>
  <c r="E23" i="1"/>
  <c r="F23" i="1" s="1"/>
  <c r="G23" i="1" s="1"/>
  <c r="E83" i="1"/>
  <c r="F83" i="1" s="1"/>
  <c r="G83" i="1" s="1"/>
  <c r="E12" i="1"/>
  <c r="F12" i="1" s="1"/>
  <c r="G12" i="1" s="1"/>
  <c r="E60" i="1"/>
  <c r="F60" i="1" s="1"/>
  <c r="G60" i="1" s="1"/>
  <c r="E73" i="1"/>
  <c r="F73" i="1" s="1"/>
  <c r="G73" i="1" s="1"/>
  <c r="E38" i="1"/>
  <c r="F38" i="1" s="1"/>
  <c r="G38" i="1" s="1"/>
  <c r="E86" i="1"/>
  <c r="F86" i="1" s="1"/>
  <c r="G86" i="1" s="1"/>
  <c r="E5" i="1"/>
  <c r="F5" i="1" s="1"/>
  <c r="G5" i="1" s="1"/>
  <c r="E17" i="1"/>
  <c r="F17" i="1" s="1"/>
  <c r="G17" i="1" s="1"/>
  <c r="E29" i="1"/>
  <c r="F29" i="1" s="1"/>
  <c r="G29" i="1" s="1"/>
  <c r="E41" i="1"/>
  <c r="F41" i="1" s="1"/>
  <c r="G41" i="1" s="1"/>
  <c r="E53" i="1"/>
  <c r="F53" i="1" s="1"/>
  <c r="G53" i="1" s="1"/>
  <c r="E65" i="1"/>
  <c r="F65" i="1" s="1"/>
  <c r="G65" i="1" s="1"/>
  <c r="E77" i="1"/>
  <c r="F77" i="1" s="1"/>
  <c r="G77" i="1" s="1"/>
  <c r="E89" i="1"/>
  <c r="F89" i="1" s="1"/>
  <c r="G89" i="1" s="1"/>
  <c r="E101" i="1"/>
  <c r="F101" i="1" s="1"/>
  <c r="G101" i="1" s="1"/>
  <c r="E19" i="1"/>
  <c r="F19" i="1" s="1"/>
  <c r="G19" i="1" s="1"/>
  <c r="E45" i="1"/>
  <c r="F45" i="1" s="1"/>
  <c r="G45" i="1" s="1"/>
  <c r="E69" i="1"/>
  <c r="F69" i="1" s="1"/>
  <c r="G69" i="1" s="1"/>
  <c r="E22" i="1"/>
  <c r="F22" i="1" s="1"/>
  <c r="G22" i="1" s="1"/>
  <c r="E58" i="1"/>
  <c r="F58" i="1" s="1"/>
  <c r="G58" i="1" s="1"/>
  <c r="E47" i="1"/>
  <c r="F47" i="1" s="1"/>
  <c r="G47" i="1" s="1"/>
  <c r="E48" i="1"/>
  <c r="F48" i="1" s="1"/>
  <c r="G48" i="1" s="1"/>
  <c r="E61" i="1"/>
  <c r="F61" i="1" s="1"/>
  <c r="G61" i="1" s="1"/>
  <c r="E26" i="1"/>
  <c r="F26" i="1" s="1"/>
  <c r="G26" i="1" s="1"/>
  <c r="E6" i="1"/>
  <c r="F6" i="1" s="1"/>
  <c r="G6" i="1" s="1"/>
  <c r="E18" i="1"/>
  <c r="F18" i="1" s="1"/>
  <c r="G18" i="1" s="1"/>
  <c r="E30" i="1"/>
  <c r="F30" i="1" s="1"/>
  <c r="G30" i="1" s="1"/>
  <c r="E42" i="1"/>
  <c r="F42" i="1" s="1"/>
  <c r="G42" i="1" s="1"/>
  <c r="E54" i="1"/>
  <c r="F54" i="1" s="1"/>
  <c r="G54" i="1" s="1"/>
  <c r="E66" i="1"/>
  <c r="F66" i="1" s="1"/>
  <c r="G66" i="1" s="1"/>
  <c r="E78" i="1"/>
  <c r="F78" i="1" s="1"/>
  <c r="G78" i="1" s="1"/>
  <c r="E90" i="1"/>
  <c r="F90" i="1" s="1"/>
  <c r="G90" i="1" s="1"/>
  <c r="E7" i="1"/>
  <c r="F7" i="1" s="1"/>
  <c r="G7" i="1" s="1"/>
  <c r="E55" i="1"/>
  <c r="F55" i="1" s="1"/>
  <c r="G55" i="1" s="1"/>
  <c r="E67" i="1"/>
  <c r="F67" i="1" s="1"/>
  <c r="G67" i="1" s="1"/>
  <c r="E44" i="1"/>
  <c r="F44" i="1" s="1"/>
  <c r="G44" i="1" s="1"/>
  <c r="E33" i="1"/>
  <c r="F33" i="1" s="1"/>
  <c r="G33" i="1" s="1"/>
  <c r="E57" i="1"/>
  <c r="F57" i="1" s="1"/>
  <c r="G57" i="1" s="1"/>
  <c r="E82" i="1"/>
  <c r="F82" i="1" s="1"/>
  <c r="G82" i="1" s="1"/>
  <c r="E35" i="1"/>
  <c r="F35" i="1" s="1"/>
  <c r="G35" i="1" s="1"/>
  <c r="E95" i="1"/>
  <c r="F95" i="1" s="1"/>
  <c r="G95" i="1" s="1"/>
  <c r="E24" i="1"/>
  <c r="F24" i="1" s="1"/>
  <c r="G24" i="1" s="1"/>
  <c r="E72" i="1"/>
  <c r="F72" i="1" s="1"/>
  <c r="G72" i="1" s="1"/>
  <c r="E37" i="1"/>
  <c r="F37" i="1" s="1"/>
  <c r="G37" i="1" s="1"/>
  <c r="E97" i="1"/>
  <c r="F97" i="1" s="1"/>
  <c r="G97" i="1" s="1"/>
  <c r="E14" i="1"/>
  <c r="F14" i="1" s="1"/>
  <c r="G14" i="1" s="1"/>
  <c r="E98" i="1"/>
  <c r="F98" i="1" s="1"/>
  <c r="G98" i="1" s="1"/>
  <c r="E8" i="1"/>
  <c r="F8" i="1" s="1"/>
  <c r="G8" i="1" s="1"/>
  <c r="E20" i="1"/>
  <c r="F20" i="1" s="1"/>
  <c r="G20" i="1" s="1"/>
  <c r="E32" i="1"/>
  <c r="F32" i="1" s="1"/>
  <c r="G32" i="1" s="1"/>
  <c r="E80" i="1"/>
  <c r="F80" i="1" s="1"/>
  <c r="G80" i="1" s="1"/>
  <c r="E96" i="1"/>
  <c r="F96" i="1" s="1"/>
  <c r="G96" i="1" s="1"/>
  <c r="E25" i="1"/>
  <c r="F25" i="1" s="1"/>
  <c r="G25" i="1" s="1"/>
  <c r="E62" i="1"/>
  <c r="F62" i="1" s="1"/>
  <c r="G62" i="1" s="1"/>
  <c r="E2" i="1"/>
  <c r="F2" i="1" s="1"/>
  <c r="G2" i="1" l="1"/>
  <c r="J11" i="1" s="1"/>
  <c r="J12" i="1" a="1"/>
  <c r="J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<sst xmlns="http://schemas.openxmlformats.org/spreadsheetml/2006/main" count="187" uniqueCount="59">
  <si>
    <t>x_i</t>
  </si>
  <si>
    <t>y_i</t>
  </si>
  <si>
    <t>x_bar</t>
  </si>
  <si>
    <t>y_bar</t>
  </si>
  <si>
    <t>xy_bar</t>
  </si>
  <si>
    <t>x_sq_bar</t>
  </si>
  <si>
    <t>x_bar_sq</t>
  </si>
  <si>
    <t>xy_i</t>
  </si>
  <si>
    <t>x_sq</t>
  </si>
  <si>
    <t>a</t>
  </si>
  <si>
    <t>b</t>
  </si>
  <si>
    <t>y_predict</t>
  </si>
  <si>
    <t>e_i</t>
  </si>
  <si>
    <t>SSE</t>
  </si>
  <si>
    <t>e_i ^2</t>
  </si>
  <si>
    <t>MAE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</si>
  <si>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</si>
  <si>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</si>
  <si>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</si>
  <si>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</si>
  <si>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</si>
  <si>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</si>
  <si>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</si>
  <si>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</si>
  <si>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</si>
  <si>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</si>
  <si>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</si>
  <si>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</si>
  <si>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</si>
  <si>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</si>
  <si>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</si>
  <si>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</si>
  <si>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</si>
  <si>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</si>
  <si>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</si>
  <si>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</si>
  <si>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</si>
  <si>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</si>
  <si>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</si>
  <si>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</si>
  <si>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Pearson Correlation Coefficient</t>
  </si>
  <si>
    <t xml:space="preserve">r2 </t>
  </si>
  <si>
    <t xml:space="preserve">R2 </t>
  </si>
  <si>
    <t>Initial Variance</t>
  </si>
  <si>
    <t>y1_i</t>
  </si>
  <si>
    <t>y2_i</t>
  </si>
  <si>
    <t>y3_i</t>
  </si>
  <si>
    <t>y4_i</t>
  </si>
  <si>
    <t>y5_i</t>
  </si>
  <si>
    <t>R Square 1</t>
  </si>
  <si>
    <t>R Square 2</t>
  </si>
  <si>
    <t>R Square 3</t>
  </si>
  <si>
    <t>R Square 4</t>
  </si>
  <si>
    <t>R Square 5</t>
  </si>
  <si>
    <t>var1</t>
  </si>
  <si>
    <t>var2</t>
  </si>
  <si>
    <t>var3</t>
  </si>
  <si>
    <t>var4</t>
  </si>
  <si>
    <t>var5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</si>
</sst>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2" fillId="14" borderId="3" xfId="0" applyFont="1" applyFill="1" applyBorder="1" applyAlignment="1">
      <alignment horizontal="centerContinuous"/>
    </xf>
    <xf numFmtId="0" fontId="0" fillId="14" borderId="0" xfId="0" applyFill="1"/>
    <xf numFmtId="0" fontId="0" fillId="14" borderId="2" xfId="0" applyFill="1" applyBorder="1"/>
    <xf numFmtId="0" fontId="2" fillId="14" borderId="3" xfId="0" applyFont="1" applyFill="1" applyBorder="1" applyAlignment="1">
      <alignment horizontal="center"/>
    </xf>
    <xf numFmtId="0" fontId="0" fillId="14" borderId="4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2" fillId="14" borderId="9" xfId="0" applyFont="1" applyFill="1" applyBorder="1" applyAlignment="1">
      <alignment horizontal="centerContinuous"/>
    </xf>
    <xf numFmtId="0" fontId="0" fillId="14" borderId="10" xfId="0" applyFill="1" applyBorder="1"/>
    <xf numFmtId="0" fontId="2" fillId="14" borderId="9" xfId="0" applyFont="1" applyFill="1" applyBorder="1" applyAlignment="1">
      <alignment horizontal="center"/>
    </xf>
    <xf numFmtId="0" fontId="2" fillId="14" borderId="11" xfId="0" applyFont="1" applyFill="1" applyBorder="1" applyAlignment="1">
      <alignment horizontal="center"/>
    </xf>
    <xf numFmtId="0" fontId="0" fillId="14" borderId="12" xfId="0" applyFill="1" applyBorder="1"/>
    <xf numFmtId="0" fontId="0" fillId="14" borderId="13" xfId="0" applyFill="1" applyBorder="1"/>
    <xf numFmtId="0" fontId="0" fillId="14" borderId="14" xfId="0" applyFill="1" applyBorder="1"/>
    <xf numFmtId="0" fontId="0" fillId="14" borderId="15" xfId="0" applyFill="1" applyBorder="1"/>
    <xf numFmtId="0" fontId="2" fillId="15" borderId="3" xfId="0" applyFont="1" applyFill="1" applyBorder="1" applyAlignment="1">
      <alignment horizontal="centerContinuous"/>
    </xf>
    <xf numFmtId="0" fontId="0" fillId="15" borderId="0" xfId="0" applyFill="1"/>
    <xf numFmtId="0" fontId="0" fillId="15" borderId="2" xfId="0" applyFill="1" applyBorder="1"/>
    <xf numFmtId="0" fontId="2" fillId="15" borderId="3" xfId="0" applyFont="1" applyFill="1" applyBorder="1" applyAlignment="1">
      <alignment horizontal="center"/>
    </xf>
    <xf numFmtId="0" fontId="0" fillId="15" borderId="4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2" fillId="15" borderId="9" xfId="0" applyFont="1" applyFill="1" applyBorder="1" applyAlignment="1">
      <alignment horizontal="centerContinuous"/>
    </xf>
    <xf numFmtId="0" fontId="0" fillId="15" borderId="10" xfId="0" applyFill="1" applyBorder="1"/>
    <xf numFmtId="0" fontId="2" fillId="15" borderId="9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0" fillId="15" borderId="12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5" xfId="0" applyFill="1" applyBorder="1"/>
    <xf numFmtId="0" fontId="2" fillId="12" borderId="3" xfId="0" applyFont="1" applyFill="1" applyBorder="1" applyAlignment="1">
      <alignment horizontal="centerContinuous"/>
    </xf>
    <xf numFmtId="0" fontId="0" fillId="12" borderId="0" xfId="0" applyFill="1"/>
    <xf numFmtId="0" fontId="0" fillId="12" borderId="2" xfId="0" applyFill="1" applyBorder="1"/>
    <xf numFmtId="0" fontId="2" fillId="12" borderId="3" xfId="0" applyFont="1" applyFill="1" applyBorder="1" applyAlignment="1">
      <alignment horizontal="center"/>
    </xf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2" fillId="12" borderId="9" xfId="0" applyFont="1" applyFill="1" applyBorder="1" applyAlignment="1">
      <alignment horizontal="centerContinuous"/>
    </xf>
    <xf numFmtId="0" fontId="0" fillId="12" borderId="10" xfId="0" applyFill="1" applyBorder="1"/>
    <xf numFmtId="0" fontId="2" fillId="12" borderId="9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6" borderId="6" xfId="0" applyFill="1" applyBorder="1"/>
    <xf numFmtId="0" fontId="0" fillId="16" borderId="7" xfId="0" applyFill="1" applyBorder="1"/>
    <xf numFmtId="0" fontId="0" fillId="16" borderId="0" xfId="0" applyFill="1"/>
    <xf numFmtId="0" fontId="0" fillId="16" borderId="8" xfId="0" applyFill="1" applyBorder="1"/>
    <xf numFmtId="0" fontId="2" fillId="16" borderId="9" xfId="0" applyFont="1" applyFill="1" applyBorder="1" applyAlignment="1">
      <alignment horizontal="centerContinuous"/>
    </xf>
    <xf numFmtId="0" fontId="2" fillId="16" borderId="3" xfId="0" applyFont="1" applyFill="1" applyBorder="1" applyAlignment="1">
      <alignment horizontal="centerContinuous"/>
    </xf>
    <xf numFmtId="0" fontId="0" fillId="16" borderId="10" xfId="0" applyFill="1" applyBorder="1"/>
    <xf numFmtId="0" fontId="0" fillId="16" borderId="2" xfId="0" applyFill="1" applyBorder="1"/>
    <xf numFmtId="0" fontId="2" fillId="16" borderId="9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0" fontId="0" fillId="16" borderId="12" xfId="0" applyFill="1" applyBorder="1"/>
    <xf numFmtId="0" fontId="0" fillId="16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2" fillId="17" borderId="3" xfId="0" applyFont="1" applyFill="1" applyBorder="1" applyAlignment="1">
      <alignment horizontal="centerContinuous"/>
    </xf>
    <xf numFmtId="0" fontId="0" fillId="17" borderId="0" xfId="0" applyFill="1"/>
    <xf numFmtId="0" fontId="0" fillId="17" borderId="2" xfId="0" applyFill="1" applyBorder="1"/>
    <xf numFmtId="0" fontId="2" fillId="17" borderId="3" xfId="0" applyFont="1" applyFill="1" applyBorder="1" applyAlignment="1">
      <alignment horizontal="center"/>
    </xf>
    <xf numFmtId="0" fontId="0" fillId="17" borderId="4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7" xfId="0" applyFill="1" applyBorder="1"/>
    <xf numFmtId="0" fontId="0" fillId="17" borderId="8" xfId="0" applyFill="1" applyBorder="1"/>
    <xf numFmtId="0" fontId="2" fillId="17" borderId="9" xfId="0" applyFont="1" applyFill="1" applyBorder="1" applyAlignment="1">
      <alignment horizontal="centerContinuous"/>
    </xf>
    <xf numFmtId="0" fontId="0" fillId="17" borderId="10" xfId="0" applyFill="1" applyBorder="1"/>
    <xf numFmtId="0" fontId="2" fillId="17" borderId="9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0" fillId="17" borderId="12" xfId="0" applyFill="1" applyBorder="1"/>
    <xf numFmtId="0" fontId="0" fillId="17" borderId="13" xfId="0" applyFill="1" applyBorder="1"/>
    <xf numFmtId="0" fontId="0" fillId="17" borderId="14" xfId="0" applyFill="1" applyBorder="1"/>
    <xf numFmtId="0" fontId="0" fillId="17" borderId="15" xfId="0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0.43261352817168947</c:v>
                </c:pt>
                <c:pt idx="1">
                  <c:v>0.68255838105838473</c:v>
                </c:pt>
                <c:pt idx="2">
                  <c:v>0.81159721683488995</c:v>
                </c:pt>
                <c:pt idx="3">
                  <c:v>0.44928826598805105</c:v>
                </c:pt>
                <c:pt idx="4">
                  <c:v>0.86794130428388083</c:v>
                </c:pt>
                <c:pt idx="5">
                  <c:v>0.29741795189970854</c:v>
                </c:pt>
                <c:pt idx="6">
                  <c:v>0.76402754131303452</c:v>
                </c:pt>
                <c:pt idx="7">
                  <c:v>0.74947773739281165</c:v>
                </c:pt>
                <c:pt idx="8">
                  <c:v>0.7151493458843915</c:v>
                </c:pt>
                <c:pt idx="9">
                  <c:v>0.55277454957131644</c:v>
                </c:pt>
                <c:pt idx="10">
                  <c:v>0.51264586426313941</c:v>
                </c:pt>
                <c:pt idx="11">
                  <c:v>0.44443129482786581</c:v>
                </c:pt>
                <c:pt idx="12">
                  <c:v>0.53955192950192554</c:v>
                </c:pt>
                <c:pt idx="13">
                  <c:v>0.38664960613827359</c:v>
                </c:pt>
                <c:pt idx="14">
                  <c:v>0.4110178911656247</c:v>
                </c:pt>
                <c:pt idx="15">
                  <c:v>0.67884863511012072</c:v>
                </c:pt>
                <c:pt idx="16">
                  <c:v>0.66622186483878487</c:v>
                </c:pt>
                <c:pt idx="17">
                  <c:v>0.65212629441323466</c:v>
                </c:pt>
                <c:pt idx="18">
                  <c:v>0.46508836143507509</c:v>
                </c:pt>
                <c:pt idx="19">
                  <c:v>0.32092922264735685</c:v>
                </c:pt>
                <c:pt idx="20">
                  <c:v>0.82071530506317469</c:v>
                </c:pt>
                <c:pt idx="21">
                  <c:v>0.23724499811961441</c:v>
                </c:pt>
                <c:pt idx="22">
                  <c:v>0.57958504433401936</c:v>
                </c:pt>
                <c:pt idx="23">
                  <c:v>0.74850171721692704</c:v>
                </c:pt>
                <c:pt idx="24">
                  <c:v>0.3982286802703412</c:v>
                </c:pt>
                <c:pt idx="25">
                  <c:v>0.64716941986068943</c:v>
                </c:pt>
                <c:pt idx="26">
                  <c:v>0.31236087166255921</c:v>
                </c:pt>
                <c:pt idx="27">
                  <c:v>0.44397234580704692</c:v>
                </c:pt>
                <c:pt idx="28">
                  <c:v>0.40420326051101885</c:v>
                </c:pt>
                <c:pt idx="29">
                  <c:v>0.34675238240852235</c:v>
                </c:pt>
                <c:pt idx="30">
                  <c:v>0.53618150477829141</c:v>
                </c:pt>
                <c:pt idx="31">
                  <c:v>0.64908190852237502</c:v>
                </c:pt>
                <c:pt idx="32">
                  <c:v>0.37524509358982872</c:v>
                </c:pt>
                <c:pt idx="33">
                  <c:v>0.43375769225290267</c:v>
                </c:pt>
                <c:pt idx="34">
                  <c:v>0.49173214662897324</c:v>
                </c:pt>
                <c:pt idx="35">
                  <c:v>0.84620067172306823</c:v>
                </c:pt>
                <c:pt idx="36">
                  <c:v>0.73627973022094784</c:v>
                </c:pt>
                <c:pt idx="37">
                  <c:v>0.72127953292732239</c:v>
                </c:pt>
                <c:pt idx="38">
                  <c:v>0.88956105778770467</c:v>
                </c:pt>
                <c:pt idx="39">
                  <c:v>0.43070938875103626</c:v>
                </c:pt>
                <c:pt idx="40">
                  <c:v>0.11219625656864281</c:v>
                </c:pt>
                <c:pt idx="41">
                  <c:v>0.1862403115338091</c:v>
                </c:pt>
                <c:pt idx="42">
                  <c:v>0.91147759087987901</c:v>
                </c:pt>
                <c:pt idx="43">
                  <c:v>0.6891019966363584</c:v>
                </c:pt>
                <c:pt idx="44">
                  <c:v>0.2997489928842863</c:v>
                </c:pt>
                <c:pt idx="45">
                  <c:v>0.59429426000280672</c:v>
                </c:pt>
                <c:pt idx="46">
                  <c:v>0.3083837318453353</c:v>
                </c:pt>
                <c:pt idx="47">
                  <c:v>0.49220889984896032</c:v>
                </c:pt>
                <c:pt idx="48">
                  <c:v>0.33652183987236295</c:v>
                </c:pt>
                <c:pt idx="49">
                  <c:v>0.70275148391952413</c:v>
                </c:pt>
                <c:pt idx="50">
                  <c:v>0.49590623521970506</c:v>
                </c:pt>
                <c:pt idx="51">
                  <c:v>0.25205953656697822</c:v>
                </c:pt>
                <c:pt idx="52">
                  <c:v>0.78195236816211977</c:v>
                </c:pt>
                <c:pt idx="53">
                  <c:v>0.36349865139940168</c:v>
                </c:pt>
                <c:pt idx="54">
                  <c:v>0.45946671617606971</c:v>
                </c:pt>
                <c:pt idx="55">
                  <c:v>0.41370848157554141</c:v>
                </c:pt>
                <c:pt idx="56">
                  <c:v>0.36970110393761968</c:v>
                </c:pt>
                <c:pt idx="57">
                  <c:v>0.55197844751117675</c:v>
                </c:pt>
                <c:pt idx="58">
                  <c:v>0.75865373301830485</c:v>
                </c:pt>
                <c:pt idx="59">
                  <c:v>0.79022351938563629</c:v>
                </c:pt>
                <c:pt idx="60">
                  <c:v>0.42493242548929988</c:v>
                </c:pt>
                <c:pt idx="61">
                  <c:v>0.87371234976016232</c:v>
                </c:pt>
                <c:pt idx="62">
                  <c:v>0.37084690022290512</c:v>
                </c:pt>
                <c:pt idx="63">
                  <c:v>0.77901753074964941</c:v>
                </c:pt>
                <c:pt idx="64">
                  <c:v>0.23224960445334369</c:v>
                </c:pt>
                <c:pt idx="65">
                  <c:v>0.45200995402182964</c:v>
                </c:pt>
                <c:pt idx="66">
                  <c:v>0.27047234402558801</c:v>
                </c:pt>
                <c:pt idx="67">
                  <c:v>0.30736946927796149</c:v>
                </c:pt>
                <c:pt idx="68">
                  <c:v>0.74059637393501387</c:v>
                </c:pt>
                <c:pt idx="69">
                  <c:v>0.65696374730766405</c:v>
                </c:pt>
                <c:pt idx="70">
                  <c:v>0.45500668900069818</c:v>
                </c:pt>
                <c:pt idx="71">
                  <c:v>0.44181511725254541</c:v>
                </c:pt>
                <c:pt idx="72">
                  <c:v>0.49732102891431551</c:v>
                </c:pt>
                <c:pt idx="73">
                  <c:v>0.67077018043836301</c:v>
                </c:pt>
                <c:pt idx="74">
                  <c:v>0.79750737047927767</c:v>
                </c:pt>
                <c:pt idx="75">
                  <c:v>0.71306985210681084</c:v>
                </c:pt>
                <c:pt idx="76">
                  <c:v>0.22749538465698904</c:v>
                </c:pt>
                <c:pt idx="77">
                  <c:v>0.50795291188066205</c:v>
                </c:pt>
                <c:pt idx="78">
                  <c:v>0.19999212692780516</c:v>
                </c:pt>
                <c:pt idx="79">
                  <c:v>0.33876499517480929</c:v>
                </c:pt>
                <c:pt idx="80">
                  <c:v>0.73728055118598435</c:v>
                </c:pt>
                <c:pt idx="81">
                  <c:v>0.6406855392789762</c:v>
                </c:pt>
                <c:pt idx="82">
                  <c:v>0.26381590243427799</c:v>
                </c:pt>
                <c:pt idx="83">
                  <c:v>0.30815921310839012</c:v>
                </c:pt>
                <c:pt idx="84">
                  <c:v>0.25772840172413225</c:v>
                </c:pt>
                <c:pt idx="85">
                  <c:v>0.64810372943867733</c:v>
                </c:pt>
                <c:pt idx="86">
                  <c:v>0.51675555692790198</c:v>
                </c:pt>
                <c:pt idx="87">
                  <c:v>0.13167173308608576</c:v>
                </c:pt>
                <c:pt idx="88">
                  <c:v>0.63161946937716262</c:v>
                </c:pt>
                <c:pt idx="89">
                  <c:v>0.77307095404179105</c:v>
                </c:pt>
                <c:pt idx="90">
                  <c:v>0.33394306034970411</c:v>
                </c:pt>
                <c:pt idx="91">
                  <c:v>0.51704788397609558</c:v>
                </c:pt>
                <c:pt idx="92">
                  <c:v>0.47498722303252572</c:v>
                </c:pt>
                <c:pt idx="93">
                  <c:v>0.73453861724285541</c:v>
                </c:pt>
                <c:pt idx="94">
                  <c:v>0.80097678521929949</c:v>
                </c:pt>
                <c:pt idx="95">
                  <c:v>0.61328241223257818</c:v>
                </c:pt>
                <c:pt idx="96">
                  <c:v>0.8683936499477668</c:v>
                </c:pt>
                <c:pt idx="97">
                  <c:v>0.67150255200813191</c:v>
                </c:pt>
                <c:pt idx="98">
                  <c:v>0.51723516820435411</c:v>
                </c:pt>
                <c:pt idx="99">
                  <c:v>0.35653122715166752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6BC-84E9-CAA407579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785200"/>
        <c:axId val="1359213087"/>
      </c:scatterChart>
      <c:valAx>
        <c:axId val="124378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13087"/>
        <c:crosses val="autoZero"/>
        <c:crossBetween val="midCat"/>
      </c:valAx>
      <c:valAx>
        <c:axId val="13592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</a:t>
            </a:r>
            <a:r>
              <a:rPr lang="en-IN" baseline="0"/>
              <a:t> square vs Variance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Sheet2!$B$106:$B$110</c:f>
              <c:numCache>
                <c:formatCode>General</c:formatCode>
                <c:ptCount val="5"/>
                <c:pt idx="0">
                  <c:v>4.5852740773441099E-2</c:v>
                </c:pt>
                <c:pt idx="1">
                  <c:v>6.5934306931200878E-2</c:v>
                </c:pt>
                <c:pt idx="2">
                  <c:v>8.2665218105117594E-2</c:v>
                </c:pt>
                <c:pt idx="3">
                  <c:v>0.14416677978379103</c:v>
                </c:pt>
                <c:pt idx="4">
                  <c:v>0.19654268590833979</c:v>
                </c:pt>
              </c:numCache>
            </c:numRef>
          </c:xVal>
          <c:yVal>
            <c:numRef>
              <c:f>Sheet2!$E$106:$E$110</c:f>
              <c:numCache>
                <c:formatCode>General</c:formatCode>
                <c:ptCount val="5"/>
                <c:pt idx="0">
                  <c:v>0.79004453380848372</c:v>
                </c:pt>
                <c:pt idx="1">
                  <c:v>0.56840372439006825</c:v>
                </c:pt>
                <c:pt idx="2">
                  <c:v>0.31720014068364938</c:v>
                </c:pt>
                <c:pt idx="3">
                  <c:v>0.3279597028015846</c:v>
                </c:pt>
                <c:pt idx="4">
                  <c:v>0.18977681950378242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7-46A3-9FDC-5D2C0211A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333712"/>
        <c:axId val="1119318352"/>
      </c:scatterChart>
      <c:valAx>
        <c:axId val="111933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18352"/>
        <c:crosses val="autoZero"/>
        <c:crossBetween val="midCat"/>
      </c:valAx>
      <c:valAx>
        <c:axId val="11193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3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y1</a:t>
            </a:r>
            <a:r>
              <a:rPr lang="en-IN" baseline="0"/>
              <a:t> vs x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Sheet2!$D$2:$D$101</c:f>
              <c:numCache>
                <c:formatCode>General</c:formatCode>
                <c:ptCount val="100"/>
                <c:pt idx="0">
                  <c:v>0.55612802469253364</c:v>
                </c:pt>
                <c:pt idx="1">
                  <c:v>0.74396349177334287</c:v>
                </c:pt>
                <c:pt idx="2">
                  <c:v>0.92066568400998205</c:v>
                </c:pt>
                <c:pt idx="3">
                  <c:v>0.57079444106879562</c:v>
                </c:pt>
                <c:pt idx="4">
                  <c:v>1.0677933133108153</c:v>
                </c:pt>
                <c:pt idx="5">
                  <c:v>0.3574887882928437</c:v>
                </c:pt>
                <c:pt idx="6">
                  <c:v>0.96432521769577284</c:v>
                </c:pt>
                <c:pt idx="7">
                  <c:v>0.88063008261113418</c:v>
                </c:pt>
                <c:pt idx="8">
                  <c:v>0.75384384210457023</c:v>
                </c:pt>
                <c:pt idx="9">
                  <c:v>0.58072763814953032</c:v>
                </c:pt>
                <c:pt idx="10">
                  <c:v>0.60808987732542397</c:v>
                </c:pt>
                <c:pt idx="11">
                  <c:v>0.60683952909922345</c:v>
                </c:pt>
                <c:pt idx="12">
                  <c:v>0.71337180141487633</c:v>
                </c:pt>
                <c:pt idx="13">
                  <c:v>0.58853464355215312</c:v>
                </c:pt>
                <c:pt idx="14">
                  <c:v>0.54039641298714958</c:v>
                </c:pt>
                <c:pt idx="15">
                  <c:v>0.75088571905180612</c:v>
                </c:pt>
                <c:pt idx="16">
                  <c:v>0.73617044592388359</c:v>
                </c:pt>
                <c:pt idx="17">
                  <c:v>0.81242902955505758</c:v>
                </c:pt>
                <c:pt idx="18">
                  <c:v>0.60020288651843978</c:v>
                </c:pt>
                <c:pt idx="19">
                  <c:v>0.49170574351050089</c:v>
                </c:pt>
                <c:pt idx="20">
                  <c:v>1.0431055238483689</c:v>
                </c:pt>
                <c:pt idx="21">
                  <c:v>0.25615726598626753</c:v>
                </c:pt>
                <c:pt idx="22">
                  <c:v>0.74939085627595015</c:v>
                </c:pt>
                <c:pt idx="23">
                  <c:v>0.96270668771769397</c:v>
                </c:pt>
                <c:pt idx="24">
                  <c:v>0.46999510810064438</c:v>
                </c:pt>
                <c:pt idx="25">
                  <c:v>0.69680120076070873</c:v>
                </c:pt>
                <c:pt idx="26">
                  <c:v>0.48378597969553316</c:v>
                </c:pt>
                <c:pt idx="27">
                  <c:v>0.60228484907684066</c:v>
                </c:pt>
                <c:pt idx="28">
                  <c:v>0.49421798449246723</c:v>
                </c:pt>
                <c:pt idx="29">
                  <c:v>0.49247778611006032</c:v>
                </c:pt>
                <c:pt idx="30">
                  <c:v>0.57987181323266657</c:v>
                </c:pt>
                <c:pt idx="31">
                  <c:v>0.72864157792258522</c:v>
                </c:pt>
                <c:pt idx="32">
                  <c:v>0.48041569800795891</c:v>
                </c:pt>
                <c:pt idx="33">
                  <c:v>0.67033332404627433</c:v>
                </c:pt>
                <c:pt idx="34">
                  <c:v>0.7147024784981364</c:v>
                </c:pt>
                <c:pt idx="35">
                  <c:v>1.0857036835063831</c:v>
                </c:pt>
                <c:pt idx="36">
                  <c:v>0.9140427641932487</c:v>
                </c:pt>
                <c:pt idx="37">
                  <c:v>0.89467010575082628</c:v>
                </c:pt>
                <c:pt idx="38">
                  <c:v>0.99932727103261998</c:v>
                </c:pt>
                <c:pt idx="39">
                  <c:v>0.67529562938990595</c:v>
                </c:pt>
                <c:pt idx="40">
                  <c:v>0.33655479313162329</c:v>
                </c:pt>
                <c:pt idx="41">
                  <c:v>0.3218281323225789</c:v>
                </c:pt>
                <c:pt idx="42">
                  <c:v>0.95386857479005482</c:v>
                </c:pt>
                <c:pt idx="43">
                  <c:v>0.91810261280778593</c:v>
                </c:pt>
                <c:pt idx="44">
                  <c:v>0.531654987074622</c:v>
                </c:pt>
                <c:pt idx="45">
                  <c:v>0.6858187063548643</c:v>
                </c:pt>
                <c:pt idx="46">
                  <c:v>0.3918519409985497</c:v>
                </c:pt>
                <c:pt idx="47">
                  <c:v>0.54719006921243918</c:v>
                </c:pt>
                <c:pt idx="48">
                  <c:v>0.42760841965977359</c:v>
                </c:pt>
                <c:pt idx="49">
                  <c:v>0.77685470074518848</c:v>
                </c:pt>
                <c:pt idx="50">
                  <c:v>0.62906336663903861</c:v>
                </c:pt>
                <c:pt idx="51">
                  <c:v>0.42588239534872518</c:v>
                </c:pt>
                <c:pt idx="52">
                  <c:v>0.92867802689905543</c:v>
                </c:pt>
                <c:pt idx="53">
                  <c:v>0.45102989913498803</c:v>
                </c:pt>
                <c:pt idx="54">
                  <c:v>0.6893547968243976</c:v>
                </c:pt>
                <c:pt idx="55">
                  <c:v>0.52257694029634094</c:v>
                </c:pt>
                <c:pt idx="56">
                  <c:v>0.4786368720760944</c:v>
                </c:pt>
                <c:pt idx="57">
                  <c:v>0.62441184290714769</c:v>
                </c:pt>
                <c:pt idx="58">
                  <c:v>0.85686200581029692</c:v>
                </c:pt>
                <c:pt idx="59">
                  <c:v>0.79917939559419704</c:v>
                </c:pt>
                <c:pt idx="60">
                  <c:v>0.50447728494732158</c:v>
                </c:pt>
                <c:pt idx="61">
                  <c:v>1.0543754588127592</c:v>
                </c:pt>
                <c:pt idx="62">
                  <c:v>0.60532314607576909</c:v>
                </c:pt>
                <c:pt idx="63">
                  <c:v>0.8579969931033935</c:v>
                </c:pt>
                <c:pt idx="64">
                  <c:v>0.45899060092867994</c:v>
                </c:pt>
                <c:pt idx="65">
                  <c:v>0.67565299050189709</c:v>
                </c:pt>
                <c:pt idx="66">
                  <c:v>0.35101926976320796</c:v>
                </c:pt>
                <c:pt idx="67">
                  <c:v>0.34131384688856681</c:v>
                </c:pt>
                <c:pt idx="68">
                  <c:v>0.85311884327033072</c:v>
                </c:pt>
                <c:pt idx="69">
                  <c:v>0.72667844958420402</c:v>
                </c:pt>
                <c:pt idx="70">
                  <c:v>0.4910849112002737</c:v>
                </c:pt>
                <c:pt idx="71">
                  <c:v>0.52453773626062361</c:v>
                </c:pt>
                <c:pt idx="72">
                  <c:v>0.7277599479778214</c:v>
                </c:pt>
                <c:pt idx="73">
                  <c:v>0.67547694931852909</c:v>
                </c:pt>
                <c:pt idx="74">
                  <c:v>0.9167907133791473</c:v>
                </c:pt>
                <c:pt idx="75">
                  <c:v>0.87641711680597578</c:v>
                </c:pt>
                <c:pt idx="76">
                  <c:v>0.37935541253777527</c:v>
                </c:pt>
                <c:pt idx="77">
                  <c:v>0.74589857616777588</c:v>
                </c:pt>
                <c:pt idx="78">
                  <c:v>0.24878525357975967</c:v>
                </c:pt>
                <c:pt idx="79">
                  <c:v>0.43911297916863007</c:v>
                </c:pt>
                <c:pt idx="80">
                  <c:v>0.93321249084076663</c:v>
                </c:pt>
                <c:pt idx="81">
                  <c:v>0.75612798926936042</c:v>
                </c:pt>
                <c:pt idx="82">
                  <c:v>0.26887659132827002</c:v>
                </c:pt>
                <c:pt idx="83">
                  <c:v>0.33880896238121821</c:v>
                </c:pt>
                <c:pt idx="84">
                  <c:v>0.43638153718520556</c:v>
                </c:pt>
                <c:pt idx="85">
                  <c:v>0.76473546485555932</c:v>
                </c:pt>
                <c:pt idx="86">
                  <c:v>0.57963852889567014</c:v>
                </c:pt>
                <c:pt idx="87">
                  <c:v>0.25191063099036071</c:v>
                </c:pt>
                <c:pt idx="88">
                  <c:v>0.83665965909364337</c:v>
                </c:pt>
                <c:pt idx="89">
                  <c:v>0.9706367029614732</c:v>
                </c:pt>
                <c:pt idx="90">
                  <c:v>0.52530607620701908</c:v>
                </c:pt>
                <c:pt idx="91">
                  <c:v>0.54879150750024597</c:v>
                </c:pt>
                <c:pt idx="92">
                  <c:v>0.55727398398269568</c:v>
                </c:pt>
                <c:pt idx="93">
                  <c:v>0.86368986549993898</c:v>
                </c:pt>
                <c:pt idx="94">
                  <c:v>1.0485297696116604</c:v>
                </c:pt>
                <c:pt idx="95">
                  <c:v>0.65417603854429174</c:v>
                </c:pt>
                <c:pt idx="96">
                  <c:v>0.88173263991134898</c:v>
                </c:pt>
                <c:pt idx="97">
                  <c:v>0.91184660744097035</c:v>
                </c:pt>
                <c:pt idx="98">
                  <c:v>0.76200441409767206</c:v>
                </c:pt>
                <c:pt idx="99">
                  <c:v>0.3735778491506358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6-4F6E-B22A-6A093695C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273760"/>
        <c:axId val="1395262240"/>
      </c:scatterChart>
      <c:valAx>
        <c:axId val="13952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62240"/>
        <c:crosses val="autoZero"/>
        <c:crossBetween val="midCat"/>
      </c:valAx>
      <c:valAx>
        <c:axId val="13952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27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y2</a:t>
            </a:r>
            <a:r>
              <a:rPr lang="en-IN" baseline="0"/>
              <a:t>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Sheet2!$E$2:$E$101</c:f>
              <c:numCache>
                <c:formatCode>General</c:formatCode>
                <c:ptCount val="100"/>
                <c:pt idx="0">
                  <c:v>0.60766655055830898</c:v>
                </c:pt>
                <c:pt idx="1">
                  <c:v>1.0713333721505425</c:v>
                </c:pt>
                <c:pt idx="2">
                  <c:v>1.0587719486650116</c:v>
                </c:pt>
                <c:pt idx="3">
                  <c:v>0.60460278234807852</c:v>
                </c:pt>
                <c:pt idx="4">
                  <c:v>1.1088373819839088</c:v>
                </c:pt>
                <c:pt idx="5">
                  <c:v>0.59904438317786757</c:v>
                </c:pt>
                <c:pt idx="6">
                  <c:v>1.0587605256707979</c:v>
                </c:pt>
                <c:pt idx="7">
                  <c:v>1.1461953147446904</c:v>
                </c:pt>
                <c:pt idx="8">
                  <c:v>0.95434486034759236</c:v>
                </c:pt>
                <c:pt idx="9">
                  <c:v>0.79493600609610648</c:v>
                </c:pt>
                <c:pt idx="10">
                  <c:v>0.56320519035368743</c:v>
                </c:pt>
                <c:pt idx="11">
                  <c:v>0.81379731578728931</c:v>
                </c:pt>
                <c:pt idx="12">
                  <c:v>1.0161683639490406</c:v>
                </c:pt>
                <c:pt idx="13">
                  <c:v>0.85071606617958184</c:v>
                </c:pt>
                <c:pt idx="14">
                  <c:v>0.77004483560162951</c:v>
                </c:pt>
                <c:pt idx="15">
                  <c:v>1.1645910402802517</c:v>
                </c:pt>
                <c:pt idx="16">
                  <c:v>1.0259043604102676</c:v>
                </c:pt>
                <c:pt idx="17">
                  <c:v>0.97056832593787512</c:v>
                </c:pt>
                <c:pt idx="18">
                  <c:v>0.56792300682091934</c:v>
                </c:pt>
                <c:pt idx="19">
                  <c:v>0.49462596498363587</c:v>
                </c:pt>
                <c:pt idx="20">
                  <c:v>0.95427421211563135</c:v>
                </c:pt>
                <c:pt idx="21">
                  <c:v>0.33386883441701565</c:v>
                </c:pt>
                <c:pt idx="22">
                  <c:v>0.84347106199679067</c:v>
                </c:pt>
                <c:pt idx="23">
                  <c:v>1.1582792973024862</c:v>
                </c:pt>
                <c:pt idx="24">
                  <c:v>0.58785906472705585</c:v>
                </c:pt>
                <c:pt idx="25">
                  <c:v>0.71750430395007392</c:v>
                </c:pt>
                <c:pt idx="26">
                  <c:v>0.61232424569200872</c:v>
                </c:pt>
                <c:pt idx="27">
                  <c:v>0.66262093730428906</c:v>
                </c:pt>
                <c:pt idx="28">
                  <c:v>0.77536951162475187</c:v>
                </c:pt>
                <c:pt idx="29">
                  <c:v>0.35422080088183799</c:v>
                </c:pt>
                <c:pt idx="30">
                  <c:v>0.72780800167516213</c:v>
                </c:pt>
                <c:pt idx="31">
                  <c:v>0.85499042343410525</c:v>
                </c:pt>
                <c:pt idx="32">
                  <c:v>0.85683220891430933</c:v>
                </c:pt>
                <c:pt idx="33">
                  <c:v>0.78806282827953988</c:v>
                </c:pt>
                <c:pt idx="34">
                  <c:v>0.51794888084129187</c:v>
                </c:pt>
                <c:pt idx="35">
                  <c:v>1.2622187172717951</c:v>
                </c:pt>
                <c:pt idx="36">
                  <c:v>0.87440623893821012</c:v>
                </c:pt>
                <c:pt idx="37">
                  <c:v>0.73052557471201118</c:v>
                </c:pt>
                <c:pt idx="38">
                  <c:v>0.96244199628403471</c:v>
                </c:pt>
                <c:pt idx="39">
                  <c:v>0.92004517685943954</c:v>
                </c:pt>
                <c:pt idx="40">
                  <c:v>0.44800979522061063</c:v>
                </c:pt>
                <c:pt idx="41">
                  <c:v>0.33055658774935764</c:v>
                </c:pt>
                <c:pt idx="42">
                  <c:v>1.2592667356624521</c:v>
                </c:pt>
                <c:pt idx="43">
                  <c:v>1.0741597083732648</c:v>
                </c:pt>
                <c:pt idx="44">
                  <c:v>0.7644447972510513</c:v>
                </c:pt>
                <c:pt idx="45">
                  <c:v>1.0647076047168573</c:v>
                </c:pt>
                <c:pt idx="46">
                  <c:v>0.77506223012030739</c:v>
                </c:pt>
                <c:pt idx="47">
                  <c:v>0.57191609733651738</c:v>
                </c:pt>
                <c:pt idx="48">
                  <c:v>0.45557811577473156</c:v>
                </c:pt>
                <c:pt idx="49">
                  <c:v>1.1115412965966993</c:v>
                </c:pt>
                <c:pt idx="50">
                  <c:v>0.86126954502836717</c:v>
                </c:pt>
                <c:pt idx="51">
                  <c:v>0.56640644480175961</c:v>
                </c:pt>
                <c:pt idx="52">
                  <c:v>1.2446136744791612</c:v>
                </c:pt>
                <c:pt idx="53">
                  <c:v>0.50306098520582454</c:v>
                </c:pt>
                <c:pt idx="54">
                  <c:v>0.68607396103981189</c:v>
                </c:pt>
                <c:pt idx="55">
                  <c:v>0.5692605422680026</c:v>
                </c:pt>
                <c:pt idx="56">
                  <c:v>0.84412277076168496</c:v>
                </c:pt>
                <c:pt idx="57">
                  <c:v>0.88472137805715767</c:v>
                </c:pt>
                <c:pt idx="58">
                  <c:v>0.98608333967459394</c:v>
                </c:pt>
                <c:pt idx="59">
                  <c:v>0.87575694279633698</c:v>
                </c:pt>
                <c:pt idx="60">
                  <c:v>0.69346074882412601</c:v>
                </c:pt>
                <c:pt idx="61">
                  <c:v>1.324466178758235</c:v>
                </c:pt>
                <c:pt idx="62">
                  <c:v>0.63772729556925778</c:v>
                </c:pt>
                <c:pt idx="63">
                  <c:v>1.1671507439711029</c:v>
                </c:pt>
                <c:pt idx="64">
                  <c:v>0.41933649878448476</c:v>
                </c:pt>
                <c:pt idx="65">
                  <c:v>0.76309058184020206</c:v>
                </c:pt>
                <c:pt idx="66">
                  <c:v>0.60133669703070081</c:v>
                </c:pt>
                <c:pt idx="67">
                  <c:v>0.42816337964682327</c:v>
                </c:pt>
                <c:pt idx="68">
                  <c:v>1.1267438411346933</c:v>
                </c:pt>
                <c:pt idx="69">
                  <c:v>0.99612071134025049</c:v>
                </c:pt>
                <c:pt idx="70">
                  <c:v>0.56224533699573587</c:v>
                </c:pt>
                <c:pt idx="71">
                  <c:v>0.45742640545403257</c:v>
                </c:pt>
                <c:pt idx="72">
                  <c:v>0.84117351856218991</c:v>
                </c:pt>
                <c:pt idx="73">
                  <c:v>1.1328956847456699</c:v>
                </c:pt>
                <c:pt idx="74">
                  <c:v>1.0246016163168319</c:v>
                </c:pt>
                <c:pt idx="75">
                  <c:v>1.143482346838786</c:v>
                </c:pt>
                <c:pt idx="76">
                  <c:v>0.68323005878194887</c:v>
                </c:pt>
                <c:pt idx="77">
                  <c:v>0.68728997514074508</c:v>
                </c:pt>
                <c:pt idx="78">
                  <c:v>0.25268905349071452</c:v>
                </c:pt>
                <c:pt idx="79">
                  <c:v>0.82852418406815742</c:v>
                </c:pt>
                <c:pt idx="80">
                  <c:v>0.83892252437633608</c:v>
                </c:pt>
                <c:pt idx="81">
                  <c:v>0.98282777296018775</c:v>
                </c:pt>
                <c:pt idx="82">
                  <c:v>0.27098783487550115</c:v>
                </c:pt>
                <c:pt idx="83">
                  <c:v>0.4635104823058756</c:v>
                </c:pt>
                <c:pt idx="84">
                  <c:v>0.73034067913576428</c:v>
                </c:pt>
                <c:pt idx="85">
                  <c:v>0.78991818386622714</c:v>
                </c:pt>
                <c:pt idx="86">
                  <c:v>0.70131052600235777</c:v>
                </c:pt>
                <c:pt idx="87">
                  <c:v>0.21737068673965881</c:v>
                </c:pt>
                <c:pt idx="88">
                  <c:v>0.83153364790081219</c:v>
                </c:pt>
                <c:pt idx="89">
                  <c:v>0.88646673365082951</c:v>
                </c:pt>
                <c:pt idx="90">
                  <c:v>0.79075880112482677</c:v>
                </c:pt>
                <c:pt idx="91">
                  <c:v>0.58476192138778682</c:v>
                </c:pt>
                <c:pt idx="92">
                  <c:v>0.49008833796034501</c:v>
                </c:pt>
                <c:pt idx="93">
                  <c:v>1.1357061234977408</c:v>
                </c:pt>
                <c:pt idx="94">
                  <c:v>0.87230350795209899</c:v>
                </c:pt>
                <c:pt idx="95">
                  <c:v>0.62498256611735536</c:v>
                </c:pt>
                <c:pt idx="96">
                  <c:v>1.0902522925552323</c:v>
                </c:pt>
                <c:pt idx="97">
                  <c:v>0.91811948349461348</c:v>
                </c:pt>
                <c:pt idx="98">
                  <c:v>0.54809623191323364</c:v>
                </c:pt>
                <c:pt idx="99">
                  <c:v>0.46264996418711157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F-4749-8EC2-8D22E36D7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676575"/>
        <c:axId val="1255673215"/>
      </c:scatterChart>
      <c:valAx>
        <c:axId val="125567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3215"/>
        <c:crosses val="autoZero"/>
        <c:crossBetween val="midCat"/>
      </c:valAx>
      <c:valAx>
        <c:axId val="12556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y3 vs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Sheet2!$F$2:$F$101</c:f>
              <c:numCache>
                <c:formatCode>General</c:formatCode>
                <c:ptCount val="100"/>
                <c:pt idx="0">
                  <c:v>0.59938740690695302</c:v>
                </c:pt>
                <c:pt idx="1">
                  <c:v>0.90191470755910563</c:v>
                </c:pt>
                <c:pt idx="2">
                  <c:v>1.3877319997212274</c:v>
                </c:pt>
                <c:pt idx="3">
                  <c:v>0.63635063279319115</c:v>
                </c:pt>
                <c:pt idx="4">
                  <c:v>1.5532342094618077</c:v>
                </c:pt>
                <c:pt idx="5">
                  <c:v>0.44621540310180829</c:v>
                </c:pt>
                <c:pt idx="6">
                  <c:v>1.1788525594024577</c:v>
                </c:pt>
                <c:pt idx="7">
                  <c:v>1.3280777800369243</c:v>
                </c:pt>
                <c:pt idx="8">
                  <c:v>0.83407024159580201</c:v>
                </c:pt>
                <c:pt idx="9">
                  <c:v>0.81692305732020587</c:v>
                </c:pt>
                <c:pt idx="10">
                  <c:v>1.0202811695369767</c:v>
                </c:pt>
                <c:pt idx="11">
                  <c:v>0.59221685132266744</c:v>
                </c:pt>
                <c:pt idx="12">
                  <c:v>1.0405258807756907</c:v>
                </c:pt>
                <c:pt idx="13">
                  <c:v>0.95608910366661992</c:v>
                </c:pt>
                <c:pt idx="14">
                  <c:v>0.82077725759892428</c:v>
                </c:pt>
                <c:pt idx="15">
                  <c:v>1.2925373616451419</c:v>
                </c:pt>
                <c:pt idx="16">
                  <c:v>0.75012516324694467</c:v>
                </c:pt>
                <c:pt idx="17">
                  <c:v>0.90630105675703332</c:v>
                </c:pt>
                <c:pt idx="18">
                  <c:v>0.53191644527486048</c:v>
                </c:pt>
                <c:pt idx="19">
                  <c:v>0.6582134420275596</c:v>
                </c:pt>
                <c:pt idx="20">
                  <c:v>1.00245635873796</c:v>
                </c:pt>
                <c:pt idx="21">
                  <c:v>0.86480511395499293</c:v>
                </c:pt>
                <c:pt idx="22">
                  <c:v>0.84294657510983062</c:v>
                </c:pt>
                <c:pt idx="23">
                  <c:v>0.7518083343073414</c:v>
                </c:pt>
                <c:pt idx="24">
                  <c:v>0.60080554090271643</c:v>
                </c:pt>
                <c:pt idx="25">
                  <c:v>1.0928463737808836</c:v>
                </c:pt>
                <c:pt idx="26">
                  <c:v>0.61397967198291803</c:v>
                </c:pt>
                <c:pt idx="27">
                  <c:v>0.7884317944838003</c:v>
                </c:pt>
                <c:pt idx="28">
                  <c:v>0.72360982536178353</c:v>
                </c:pt>
                <c:pt idx="29">
                  <c:v>0.71596470727533923</c:v>
                </c:pt>
                <c:pt idx="30">
                  <c:v>0.57630076647885131</c:v>
                </c:pt>
                <c:pt idx="31">
                  <c:v>0.75986771715808565</c:v>
                </c:pt>
                <c:pt idx="32">
                  <c:v>0.87286060198901216</c:v>
                </c:pt>
                <c:pt idx="33">
                  <c:v>0.45111350229557012</c:v>
                </c:pt>
                <c:pt idx="34">
                  <c:v>0.67183580594828785</c:v>
                </c:pt>
                <c:pt idx="35">
                  <c:v>1.5267814925731713</c:v>
                </c:pt>
                <c:pt idx="36">
                  <c:v>1.051347393390341</c:v>
                </c:pt>
                <c:pt idx="37">
                  <c:v>1.0327342714704595</c:v>
                </c:pt>
                <c:pt idx="38">
                  <c:v>1.3165666870591382</c:v>
                </c:pt>
                <c:pt idx="39">
                  <c:v>1.1235835881507503</c:v>
                </c:pt>
                <c:pt idx="40">
                  <c:v>0.83786166750364244</c:v>
                </c:pt>
                <c:pt idx="41">
                  <c:v>0.87573309863493876</c:v>
                </c:pt>
                <c:pt idx="42">
                  <c:v>0.95293162624667194</c:v>
                </c:pt>
                <c:pt idx="43">
                  <c:v>1.2147575483256512</c:v>
                </c:pt>
                <c:pt idx="44">
                  <c:v>1.0026975486789644</c:v>
                </c:pt>
                <c:pt idx="45">
                  <c:v>1.0062336795892102</c:v>
                </c:pt>
                <c:pt idx="46">
                  <c:v>0.81236735763185153</c:v>
                </c:pt>
                <c:pt idx="47">
                  <c:v>0.7907484418218973</c:v>
                </c:pt>
                <c:pt idx="48">
                  <c:v>0.60393741857288596</c:v>
                </c:pt>
                <c:pt idx="49">
                  <c:v>1.2214282362555995</c:v>
                </c:pt>
                <c:pt idx="50">
                  <c:v>0.50586008698273888</c:v>
                </c:pt>
                <c:pt idx="51">
                  <c:v>0.84582742970087943</c:v>
                </c:pt>
                <c:pt idx="52">
                  <c:v>1.3347431660106328</c:v>
                </c:pt>
                <c:pt idx="53">
                  <c:v>0.7490993377858548</c:v>
                </c:pt>
                <c:pt idx="54">
                  <c:v>0.79605869387240136</c:v>
                </c:pt>
                <c:pt idx="55">
                  <c:v>0.74092414948717056</c:v>
                </c:pt>
                <c:pt idx="56">
                  <c:v>0.96236551412704741</c:v>
                </c:pt>
                <c:pt idx="57">
                  <c:v>0.7161384615861135</c:v>
                </c:pt>
                <c:pt idx="58">
                  <c:v>1.2446637960322635</c:v>
                </c:pt>
                <c:pt idx="59">
                  <c:v>1.1021133301754689</c:v>
                </c:pt>
                <c:pt idx="60">
                  <c:v>0.55176947043564684</c:v>
                </c:pt>
                <c:pt idx="61">
                  <c:v>1.5290815227453884</c:v>
                </c:pt>
                <c:pt idx="62">
                  <c:v>0.91722057695186809</c:v>
                </c:pt>
                <c:pt idx="63">
                  <c:v>1.3085680665441066</c:v>
                </c:pt>
                <c:pt idx="64">
                  <c:v>0.65898381023521524</c:v>
                </c:pt>
                <c:pt idx="65">
                  <c:v>0.58825871699494192</c:v>
                </c:pt>
                <c:pt idx="66">
                  <c:v>0.58911252580201712</c:v>
                </c:pt>
                <c:pt idx="67">
                  <c:v>0.35939814240373757</c:v>
                </c:pt>
                <c:pt idx="68">
                  <c:v>1.1809809464556813</c:v>
                </c:pt>
                <c:pt idx="69">
                  <c:v>1.3535589595217306</c:v>
                </c:pt>
                <c:pt idx="70">
                  <c:v>0.95732794001352317</c:v>
                </c:pt>
                <c:pt idx="71">
                  <c:v>0.95122850945499671</c:v>
                </c:pt>
                <c:pt idx="72">
                  <c:v>0.87560899476336884</c:v>
                </c:pt>
                <c:pt idx="73">
                  <c:v>1.2187812176436321</c:v>
                </c:pt>
                <c:pt idx="74">
                  <c:v>0.98017140242696899</c:v>
                </c:pt>
                <c:pt idx="75">
                  <c:v>1.2484502008705585</c:v>
                </c:pt>
                <c:pt idx="76">
                  <c:v>0.48286485876926222</c:v>
                </c:pt>
                <c:pt idx="77">
                  <c:v>0.76684455586241618</c:v>
                </c:pt>
                <c:pt idx="78">
                  <c:v>0.4950621963551381</c:v>
                </c:pt>
                <c:pt idx="79">
                  <c:v>0.39471206903649747</c:v>
                </c:pt>
                <c:pt idx="80">
                  <c:v>0.82156850352223509</c:v>
                </c:pt>
                <c:pt idx="81">
                  <c:v>0.76612916442637768</c:v>
                </c:pt>
                <c:pt idx="82">
                  <c:v>0.98863971247361393</c:v>
                </c:pt>
                <c:pt idx="83">
                  <c:v>0.87124570293885206</c:v>
                </c:pt>
                <c:pt idx="84">
                  <c:v>0.93488618298336157</c:v>
                </c:pt>
                <c:pt idx="85">
                  <c:v>0.77647699420273253</c:v>
                </c:pt>
                <c:pt idx="86">
                  <c:v>1.1063122765505988</c:v>
                </c:pt>
                <c:pt idx="87">
                  <c:v>0.76223116012050807</c:v>
                </c:pt>
                <c:pt idx="88">
                  <c:v>0.8120669858181131</c:v>
                </c:pt>
                <c:pt idx="89">
                  <c:v>1.3950467445009367</c:v>
                </c:pt>
                <c:pt idx="90">
                  <c:v>0.5713963041145762</c:v>
                </c:pt>
                <c:pt idx="91">
                  <c:v>0.7487985732336615</c:v>
                </c:pt>
                <c:pt idx="92">
                  <c:v>0.50236060209351219</c:v>
                </c:pt>
                <c:pt idx="93">
                  <c:v>1.0484071630342902</c:v>
                </c:pt>
                <c:pt idx="94">
                  <c:v>1.3085325313882072</c:v>
                </c:pt>
                <c:pt idx="95">
                  <c:v>0.94544681043782575</c:v>
                </c:pt>
                <c:pt idx="96">
                  <c:v>1.6114078275297588</c:v>
                </c:pt>
                <c:pt idx="97">
                  <c:v>0.67395701596769486</c:v>
                </c:pt>
                <c:pt idx="98">
                  <c:v>0.61140923255571122</c:v>
                </c:pt>
                <c:pt idx="99">
                  <c:v>0.41322240904811314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D-43C2-B226-65EA3FEF0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680895"/>
        <c:axId val="1255681375"/>
      </c:scatterChart>
      <c:valAx>
        <c:axId val="125568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81375"/>
        <c:crosses val="autoZero"/>
        <c:crossBetween val="midCat"/>
      </c:valAx>
      <c:valAx>
        <c:axId val="12556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8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y4</a:t>
            </a:r>
            <a:r>
              <a:rPr lang="en-IN" baseline="0"/>
              <a:t> vs 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Sheet2!$G$2:$G$101</c:f>
              <c:numCache>
                <c:formatCode>General</c:formatCode>
                <c:ptCount val="100"/>
                <c:pt idx="0">
                  <c:v>0.6824459275024124</c:v>
                </c:pt>
                <c:pt idx="1">
                  <c:v>1.4230585927302053</c:v>
                </c:pt>
                <c:pt idx="2">
                  <c:v>0.88188400201239681</c:v>
                </c:pt>
                <c:pt idx="3">
                  <c:v>0.60492576181629709</c:v>
                </c:pt>
                <c:pt idx="4">
                  <c:v>1.7030145972053852</c:v>
                </c:pt>
                <c:pt idx="5">
                  <c:v>0.35122382502453098</c:v>
                </c:pt>
                <c:pt idx="6">
                  <c:v>0.81891414677381147</c:v>
                </c:pt>
                <c:pt idx="7">
                  <c:v>1.1021137885722818</c:v>
                </c:pt>
                <c:pt idx="8">
                  <c:v>0.77589742990746668</c:v>
                </c:pt>
                <c:pt idx="9">
                  <c:v>0.87596477190000532</c:v>
                </c:pt>
                <c:pt idx="10">
                  <c:v>0.67727098916887241</c:v>
                </c:pt>
                <c:pt idx="11">
                  <c:v>0.85258305560418546</c:v>
                </c:pt>
                <c:pt idx="12">
                  <c:v>1.4543724677958694</c:v>
                </c:pt>
                <c:pt idx="13">
                  <c:v>0.85398157474671887</c:v>
                </c:pt>
                <c:pt idx="14">
                  <c:v>0.95658237008605917</c:v>
                </c:pt>
                <c:pt idx="15">
                  <c:v>1.5324566062697114</c:v>
                </c:pt>
                <c:pt idx="16">
                  <c:v>1.0887435799178595</c:v>
                </c:pt>
                <c:pt idx="17">
                  <c:v>0.87264498206312913</c:v>
                </c:pt>
                <c:pt idx="18">
                  <c:v>0.59147240836727244</c:v>
                </c:pt>
                <c:pt idx="19">
                  <c:v>1.1084443217664735</c:v>
                </c:pt>
                <c:pt idx="20">
                  <c:v>1.2579868607902833</c:v>
                </c:pt>
                <c:pt idx="21">
                  <c:v>0.35499009506643842</c:v>
                </c:pt>
                <c:pt idx="22">
                  <c:v>1.239807117978692</c:v>
                </c:pt>
                <c:pt idx="23">
                  <c:v>1.204979708603352</c:v>
                </c:pt>
                <c:pt idx="24">
                  <c:v>0.91396007389511558</c:v>
                </c:pt>
                <c:pt idx="25">
                  <c:v>1.292561701799221</c:v>
                </c:pt>
                <c:pt idx="26">
                  <c:v>0.36617405458499186</c:v>
                </c:pt>
                <c:pt idx="27">
                  <c:v>1.3881975804463997</c:v>
                </c:pt>
                <c:pt idx="28">
                  <c:v>1.1234945061889507</c:v>
                </c:pt>
                <c:pt idx="29">
                  <c:v>0.40332988556592908</c:v>
                </c:pt>
                <c:pt idx="30">
                  <c:v>1.4417293001582481</c:v>
                </c:pt>
                <c:pt idx="31">
                  <c:v>1.2861316995604473</c:v>
                </c:pt>
                <c:pt idx="32">
                  <c:v>0.93317976372045319</c:v>
                </c:pt>
                <c:pt idx="33">
                  <c:v>0.51502125961528544</c:v>
                </c:pt>
                <c:pt idx="34">
                  <c:v>0.93160586409012192</c:v>
                </c:pt>
                <c:pt idx="35">
                  <c:v>1.7131190824344702</c:v>
                </c:pt>
                <c:pt idx="36">
                  <c:v>1.6464694192075595</c:v>
                </c:pt>
                <c:pt idx="37">
                  <c:v>1.085774842719466</c:v>
                </c:pt>
                <c:pt idx="38">
                  <c:v>1.3598961053265564</c:v>
                </c:pt>
                <c:pt idx="39">
                  <c:v>0.71146454517328495</c:v>
                </c:pt>
                <c:pt idx="40">
                  <c:v>0.86109012761791148</c:v>
                </c:pt>
                <c:pt idx="41">
                  <c:v>0.41174112555259129</c:v>
                </c:pt>
                <c:pt idx="42">
                  <c:v>1.8671953682521842</c:v>
                </c:pt>
                <c:pt idx="43">
                  <c:v>1.635896988320352</c:v>
                </c:pt>
                <c:pt idx="44">
                  <c:v>0.97246948779583886</c:v>
                </c:pt>
                <c:pt idx="45">
                  <c:v>1.5315806332573185</c:v>
                </c:pt>
                <c:pt idx="46">
                  <c:v>0.87490072127132956</c:v>
                </c:pt>
                <c:pt idx="47">
                  <c:v>1.4714342576168511</c:v>
                </c:pt>
                <c:pt idx="48">
                  <c:v>1.1909561217411326</c:v>
                </c:pt>
                <c:pt idx="49">
                  <c:v>1.2090062921394769</c:v>
                </c:pt>
                <c:pt idx="50">
                  <c:v>0.86993637897859721</c:v>
                </c:pt>
                <c:pt idx="51">
                  <c:v>0.68529828917942415</c:v>
                </c:pt>
                <c:pt idx="52">
                  <c:v>1.0285165794349169</c:v>
                </c:pt>
                <c:pt idx="53">
                  <c:v>1.2246491785117009</c:v>
                </c:pt>
                <c:pt idx="54">
                  <c:v>1.1005178528870183</c:v>
                </c:pt>
                <c:pt idx="55">
                  <c:v>1.4038859926031733</c:v>
                </c:pt>
                <c:pt idx="56">
                  <c:v>1.2913052502464608</c:v>
                </c:pt>
                <c:pt idx="57">
                  <c:v>1.5504569475907939</c:v>
                </c:pt>
                <c:pt idx="58">
                  <c:v>1.0855089862295288</c:v>
                </c:pt>
                <c:pt idx="59">
                  <c:v>1.5564140564649178</c:v>
                </c:pt>
                <c:pt idx="60">
                  <c:v>0.44948310752737675</c:v>
                </c:pt>
                <c:pt idx="61">
                  <c:v>1.7809723791145164</c:v>
                </c:pt>
                <c:pt idx="62">
                  <c:v>0.65838225232763281</c:v>
                </c:pt>
                <c:pt idx="63">
                  <c:v>1.1322647235994323</c:v>
                </c:pt>
                <c:pt idx="64">
                  <c:v>0.4510664582555915</c:v>
                </c:pt>
                <c:pt idx="65">
                  <c:v>0.51220969852626064</c:v>
                </c:pt>
                <c:pt idx="66">
                  <c:v>0.88771423766119417</c:v>
                </c:pt>
                <c:pt idx="67">
                  <c:v>0.33062326349875637</c:v>
                </c:pt>
                <c:pt idx="68">
                  <c:v>1.1325165792822949</c:v>
                </c:pt>
                <c:pt idx="69">
                  <c:v>1.3751868992168763</c:v>
                </c:pt>
                <c:pt idx="70">
                  <c:v>0.71288241446329492</c:v>
                </c:pt>
                <c:pt idx="71">
                  <c:v>0.51818345666150323</c:v>
                </c:pt>
                <c:pt idx="72">
                  <c:v>0.92143702007933681</c:v>
                </c:pt>
                <c:pt idx="73">
                  <c:v>1.168943227216745</c:v>
                </c:pt>
                <c:pt idx="74">
                  <c:v>1.2698926107047426</c:v>
                </c:pt>
                <c:pt idx="75">
                  <c:v>1.0544742326293934</c:v>
                </c:pt>
                <c:pt idx="76">
                  <c:v>0.66001193978113182</c:v>
                </c:pt>
                <c:pt idx="77">
                  <c:v>1.3928004259922449</c:v>
                </c:pt>
                <c:pt idx="78">
                  <c:v>0.56938526495392461</c:v>
                </c:pt>
                <c:pt idx="79">
                  <c:v>0.82206805784441406</c:v>
                </c:pt>
                <c:pt idx="80">
                  <c:v>0.78388541826577263</c:v>
                </c:pt>
                <c:pt idx="81">
                  <c:v>1.0272891990138557</c:v>
                </c:pt>
                <c:pt idx="82">
                  <c:v>0.78135792320358766</c:v>
                </c:pt>
                <c:pt idx="83">
                  <c:v>1.2478115391972731</c:v>
                </c:pt>
                <c:pt idx="84">
                  <c:v>1.1764538137595149</c:v>
                </c:pt>
                <c:pt idx="85">
                  <c:v>1.2849953545723389</c:v>
                </c:pt>
                <c:pt idx="86">
                  <c:v>1.4070179654415496</c:v>
                </c:pt>
                <c:pt idx="87">
                  <c:v>0.13207319890829844</c:v>
                </c:pt>
                <c:pt idx="88">
                  <c:v>1.3472158547962692</c:v>
                </c:pt>
                <c:pt idx="89">
                  <c:v>1.3859553476317787</c:v>
                </c:pt>
                <c:pt idx="90">
                  <c:v>0.72110364038361197</c:v>
                </c:pt>
                <c:pt idx="91">
                  <c:v>0.61217411845814163</c:v>
                </c:pt>
                <c:pt idx="92">
                  <c:v>1.2690727544422287</c:v>
                </c:pt>
                <c:pt idx="93">
                  <c:v>1.2370743693906221</c:v>
                </c:pt>
                <c:pt idx="94">
                  <c:v>1.5236380059984476</c:v>
                </c:pt>
                <c:pt idx="95">
                  <c:v>1.1519417538815688</c:v>
                </c:pt>
                <c:pt idx="96">
                  <c:v>1.0416630757255008</c:v>
                </c:pt>
                <c:pt idx="97">
                  <c:v>1.3253517610938057</c:v>
                </c:pt>
                <c:pt idx="98">
                  <c:v>1.4967976687041755</c:v>
                </c:pt>
                <c:pt idx="99">
                  <c:v>0.72823577645754667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8-488E-B8E1-E52E9AF91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698655"/>
        <c:axId val="1255700095"/>
      </c:scatterChart>
      <c:valAx>
        <c:axId val="125569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00095"/>
        <c:crosses val="autoZero"/>
        <c:crossBetween val="midCat"/>
      </c:valAx>
      <c:valAx>
        <c:axId val="12557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9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y5</a:t>
            </a:r>
            <a:r>
              <a:rPr lang="en-IN" baseline="0"/>
              <a:t> vs 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Sheet2!$A$2:$A$101</c:f>
              <c:numCache>
                <c:formatCode>General</c:formatCode>
                <c:ptCount val="100"/>
                <c:pt idx="0">
                  <c:v>0.47461267833281184</c:v>
                </c:pt>
                <c:pt idx="1">
                  <c:v>0.74522111847214556</c:v>
                </c:pt>
                <c:pt idx="2">
                  <c:v>0.78367626103568155</c:v>
                </c:pt>
                <c:pt idx="3">
                  <c:v>0.51424339620781434</c:v>
                </c:pt>
                <c:pt idx="4">
                  <c:v>0.92511887266091608</c:v>
                </c:pt>
                <c:pt idx="5">
                  <c:v>6.2868561759879538E-2</c:v>
                </c:pt>
                <c:pt idx="6">
                  <c:v>0.86055351116304912</c:v>
                </c:pt>
                <c:pt idx="7">
                  <c:v>0.92491119339101657</c:v>
                </c:pt>
                <c:pt idx="8">
                  <c:v>0.93958976531529759</c:v>
                </c:pt>
                <c:pt idx="9">
                  <c:v>0.49099303891136425</c:v>
                </c:pt>
                <c:pt idx="10">
                  <c:v>0.55901797995103142</c:v>
                </c:pt>
                <c:pt idx="11">
                  <c:v>0.27797419771294107</c:v>
                </c:pt>
                <c:pt idx="12">
                  <c:v>0.49466554986470013</c:v>
                </c:pt>
                <c:pt idx="13">
                  <c:v>0.21873346974522323</c:v>
                </c:pt>
                <c:pt idx="14">
                  <c:v>0.4858707521743395</c:v>
                </c:pt>
                <c:pt idx="15">
                  <c:v>0.67262619544158198</c:v>
                </c:pt>
                <c:pt idx="16">
                  <c:v>0.89541318735568853</c:v>
                </c:pt>
                <c:pt idx="17">
                  <c:v>0.90117399798370845</c:v>
                </c:pt>
                <c:pt idx="18">
                  <c:v>0.57335015063459582</c:v>
                </c:pt>
                <c:pt idx="19">
                  <c:v>1.3195462911787748E-2</c:v>
                </c:pt>
                <c:pt idx="20">
                  <c:v>0.89948576606136443</c:v>
                </c:pt>
                <c:pt idx="21">
                  <c:v>0.10526791435160987</c:v>
                </c:pt>
                <c:pt idx="22">
                  <c:v>0.60111915205119459</c:v>
                </c:pt>
                <c:pt idx="23">
                  <c:v>0.89814676899681289</c:v>
                </c:pt>
                <c:pt idx="24">
                  <c:v>0.21785024389596419</c:v>
                </c:pt>
                <c:pt idx="25">
                  <c:v>0.80412804634704094</c:v>
                </c:pt>
                <c:pt idx="26">
                  <c:v>5.2182628990731006E-2</c:v>
                </c:pt>
                <c:pt idx="27">
                  <c:v>0.34701188639554448</c:v>
                </c:pt>
                <c:pt idx="28">
                  <c:v>0.30319294777500083</c:v>
                </c:pt>
                <c:pt idx="29">
                  <c:v>0.12077732837950161</c:v>
                </c:pt>
                <c:pt idx="30">
                  <c:v>0.68691773830175284</c:v>
                </c:pt>
                <c:pt idx="31">
                  <c:v>0.90557687916141583</c:v>
                </c:pt>
                <c:pt idx="32">
                  <c:v>0.3608840837588716</c:v>
                </c:pt>
                <c:pt idx="33">
                  <c:v>0.26058154953358714</c:v>
                </c:pt>
                <c:pt idx="34">
                  <c:v>0.62960827766149974</c:v>
                </c:pt>
                <c:pt idx="35">
                  <c:v>0.83698648622291949</c:v>
                </c:pt>
                <c:pt idx="36">
                  <c:v>0.96827460859766834</c:v>
                </c:pt>
                <c:pt idx="37">
                  <c:v>0.66549198827793632</c:v>
                </c:pt>
                <c:pt idx="38">
                  <c:v>0.97703718225851299</c:v>
                </c:pt>
                <c:pt idx="39">
                  <c:v>0.41721564724490812</c:v>
                </c:pt>
                <c:pt idx="40">
                  <c:v>1.0299258527148969E-2</c:v>
                </c:pt>
                <c:pt idx="41">
                  <c:v>7.8790750021327072E-2</c:v>
                </c:pt>
                <c:pt idx="42">
                  <c:v>0.94522302338630648</c:v>
                </c:pt>
                <c:pt idx="43">
                  <c:v>0.91056158328068904</c:v>
                </c:pt>
                <c:pt idx="44">
                  <c:v>9.4138000062018667E-2</c:v>
                </c:pt>
                <c:pt idx="45">
                  <c:v>0.72863515901828346</c:v>
                </c:pt>
                <c:pt idx="46">
                  <c:v>0.19138347066899153</c:v>
                </c:pt>
                <c:pt idx="47">
                  <c:v>0.56492570581543267</c:v>
                </c:pt>
                <c:pt idx="48">
                  <c:v>0.33617368343396137</c:v>
                </c:pt>
                <c:pt idx="49">
                  <c:v>0.76273205512628295</c:v>
                </c:pt>
                <c:pt idx="50">
                  <c:v>0.50816971447729409</c:v>
                </c:pt>
                <c:pt idx="51">
                  <c:v>5.3946604725891412E-2</c:v>
                </c:pt>
                <c:pt idx="52">
                  <c:v>0.85503758843977617</c:v>
                </c:pt>
                <c:pt idx="53">
                  <c:v>0.29340007608860508</c:v>
                </c:pt>
                <c:pt idx="54">
                  <c:v>0.35411189627530182</c:v>
                </c:pt>
                <c:pt idx="55">
                  <c:v>0.28524098853692414</c:v>
                </c:pt>
                <c:pt idx="56">
                  <c:v>0.14880532665274115</c:v>
                </c:pt>
                <c:pt idx="57">
                  <c:v>0.59314132654639506</c:v>
                </c:pt>
                <c:pt idx="58">
                  <c:v>0.82249087867443393</c:v>
                </c:pt>
                <c:pt idx="59">
                  <c:v>0.86434582925389836</c:v>
                </c:pt>
                <c:pt idx="60">
                  <c:v>0.47931622694976117</c:v>
                </c:pt>
                <c:pt idx="61">
                  <c:v>0.97329157419321743</c:v>
                </c:pt>
                <c:pt idx="62">
                  <c:v>0.18439041582405757</c:v>
                </c:pt>
                <c:pt idx="63">
                  <c:v>0.88039956333210889</c:v>
                </c:pt>
                <c:pt idx="64">
                  <c:v>0.12530690449276005</c:v>
                </c:pt>
                <c:pt idx="65">
                  <c:v>0.5545073286885116</c:v>
                </c:pt>
                <c:pt idx="66">
                  <c:v>0.14523864847476131</c:v>
                </c:pt>
                <c:pt idx="67">
                  <c:v>0.28014076642357622</c:v>
                </c:pt>
                <c:pt idx="68">
                  <c:v>0.69389488361948504</c:v>
                </c:pt>
                <c:pt idx="69">
                  <c:v>0.63038707268410776</c:v>
                </c:pt>
                <c:pt idx="70">
                  <c:v>0.42019968489970938</c:v>
                </c:pt>
                <c:pt idx="71">
                  <c:v>0.53276843023752962</c:v>
                </c:pt>
                <c:pt idx="72">
                  <c:v>0.40668176161430936</c:v>
                </c:pt>
                <c:pt idx="73">
                  <c:v>0.79934438448659162</c:v>
                </c:pt>
                <c:pt idx="74">
                  <c:v>0.86643018871094568</c:v>
                </c:pt>
                <c:pt idx="75">
                  <c:v>0.8322844551991988</c:v>
                </c:pt>
                <c:pt idx="76">
                  <c:v>7.96261296272609E-2</c:v>
                </c:pt>
                <c:pt idx="77">
                  <c:v>0.56647229726526283</c:v>
                </c:pt>
                <c:pt idx="78">
                  <c:v>2.593563781625885E-2</c:v>
                </c:pt>
                <c:pt idx="79">
                  <c:v>0.26533386820579574</c:v>
                </c:pt>
                <c:pt idx="80">
                  <c:v>0.92004747351331806</c:v>
                </c:pt>
                <c:pt idx="81">
                  <c:v>0.81613985411024115</c:v>
                </c:pt>
                <c:pt idx="82">
                  <c:v>1.8552054921190053E-2</c:v>
                </c:pt>
                <c:pt idx="83">
                  <c:v>8.0727016687708097E-2</c:v>
                </c:pt>
                <c:pt idx="84">
                  <c:v>7.2974681620635473E-2</c:v>
                </c:pt>
                <c:pt idx="85">
                  <c:v>0.90909606162409806</c:v>
                </c:pt>
                <c:pt idx="86">
                  <c:v>0.56109074718901319</c:v>
                </c:pt>
                <c:pt idx="87">
                  <c:v>2.3926886226807498E-2</c:v>
                </c:pt>
                <c:pt idx="88">
                  <c:v>0.81651577231612948</c:v>
                </c:pt>
                <c:pt idx="89">
                  <c:v>0.85634176556674302</c:v>
                </c:pt>
                <c:pt idx="90">
                  <c:v>0.26055252619903968</c:v>
                </c:pt>
                <c:pt idx="91">
                  <c:v>0.47633629017683343</c:v>
                </c:pt>
                <c:pt idx="92">
                  <c:v>0.36871659815114866</c:v>
                </c:pt>
                <c:pt idx="93">
                  <c:v>0.79999835530122965</c:v>
                </c:pt>
                <c:pt idx="94">
                  <c:v>0.95699065867861133</c:v>
                </c:pt>
                <c:pt idx="95">
                  <c:v>0.60657373835740036</c:v>
                </c:pt>
                <c:pt idx="96">
                  <c:v>0.87287495648026114</c:v>
                </c:pt>
                <c:pt idx="97">
                  <c:v>0.71668752597343455</c:v>
                </c:pt>
                <c:pt idx="98">
                  <c:v>0.46722425337628815</c:v>
                </c:pt>
                <c:pt idx="99">
                  <c:v>0.41164223720157911</c:v>
                </c:pt>
              </c:numCache>
            </c:numRef>
          </c:xVal>
          <c:yVal>
            <c:numRef>
              <c:f>Sheet2!$H$2:$H$101</c:f>
              <c:numCache>
                <c:formatCode>General</c:formatCode>
                <c:ptCount val="100"/>
                <c:pt idx="0">
                  <c:v>1.8682542946461329</c:v>
                </c:pt>
                <c:pt idx="1">
                  <c:v>1.9300130841854903</c:v>
                </c:pt>
                <c:pt idx="2">
                  <c:v>1.1548148308865482</c:v>
                </c:pt>
                <c:pt idx="3">
                  <c:v>0.93139130338062159</c:v>
                </c:pt>
                <c:pt idx="4">
                  <c:v>0.99491788242844303</c:v>
                </c:pt>
                <c:pt idx="5">
                  <c:v>1.0778885646900069</c:v>
                </c:pt>
                <c:pt idx="6">
                  <c:v>1.2931015707834987</c:v>
                </c:pt>
                <c:pt idx="7">
                  <c:v>1.0230721011844606</c:v>
                </c:pt>
                <c:pt idx="8">
                  <c:v>1.5645699801588622</c:v>
                </c:pt>
                <c:pt idx="9">
                  <c:v>0.79170344816635896</c:v>
                </c:pt>
                <c:pt idx="10">
                  <c:v>1.7159446654033612</c:v>
                </c:pt>
                <c:pt idx="11">
                  <c:v>0.4884139795808391</c:v>
                </c:pt>
                <c:pt idx="12">
                  <c:v>1.2166608119034434</c:v>
                </c:pt>
                <c:pt idx="13">
                  <c:v>0.64515212877242434</c:v>
                </c:pt>
                <c:pt idx="14">
                  <c:v>1.4379665693310617</c:v>
                </c:pt>
                <c:pt idx="15">
                  <c:v>1.6900907169575512</c:v>
                </c:pt>
                <c:pt idx="16">
                  <c:v>0.90707043262351428</c:v>
                </c:pt>
                <c:pt idx="17">
                  <c:v>0.66810787079802714</c:v>
                </c:pt>
                <c:pt idx="18">
                  <c:v>0.59719745823682824</c:v>
                </c:pt>
                <c:pt idx="19">
                  <c:v>0.93650230307809723</c:v>
                </c:pt>
                <c:pt idx="20">
                  <c:v>1.4511068723555018</c:v>
                </c:pt>
                <c:pt idx="21">
                  <c:v>0.47173099015377595</c:v>
                </c:pt>
                <c:pt idx="22">
                  <c:v>1.2262612670898028</c:v>
                </c:pt>
                <c:pt idx="23">
                  <c:v>1.1027043921567294</c:v>
                </c:pt>
                <c:pt idx="24">
                  <c:v>0.88467629182433927</c:v>
                </c:pt>
                <c:pt idx="25">
                  <c:v>1.6563403379312187</c:v>
                </c:pt>
                <c:pt idx="26">
                  <c:v>0.67012635564780321</c:v>
                </c:pt>
                <c:pt idx="27">
                  <c:v>1.3906792200710107</c:v>
                </c:pt>
                <c:pt idx="28">
                  <c:v>0.50706116756535646</c:v>
                </c:pt>
                <c:pt idx="29">
                  <c:v>0.74762556528660395</c:v>
                </c:pt>
                <c:pt idx="30">
                  <c:v>1.7521310940358636</c:v>
                </c:pt>
                <c:pt idx="31">
                  <c:v>1.3427187576259281</c:v>
                </c:pt>
                <c:pt idx="32">
                  <c:v>1.4413321606130989</c:v>
                </c:pt>
                <c:pt idx="33">
                  <c:v>1.5731198035391458</c:v>
                </c:pt>
                <c:pt idx="34">
                  <c:v>0.53888657959129094</c:v>
                </c:pt>
                <c:pt idx="35">
                  <c:v>1.2846765727106284</c:v>
                </c:pt>
                <c:pt idx="36">
                  <c:v>1.5106668580060041</c:v>
                </c:pt>
                <c:pt idx="37">
                  <c:v>1.9213821967193629</c:v>
                </c:pt>
                <c:pt idx="38">
                  <c:v>2.2691097336010433</c:v>
                </c:pt>
                <c:pt idx="39">
                  <c:v>1.4520476205361843</c:v>
                </c:pt>
                <c:pt idx="40">
                  <c:v>1.0239352860678328</c:v>
                </c:pt>
                <c:pt idx="41">
                  <c:v>1.2158620273514715</c:v>
                </c:pt>
                <c:pt idx="42">
                  <c:v>1.2778900974746645</c:v>
                </c:pt>
                <c:pt idx="43">
                  <c:v>1.3884962018172917</c:v>
                </c:pt>
                <c:pt idx="44">
                  <c:v>0.47689099677206276</c:v>
                </c:pt>
                <c:pt idx="45">
                  <c:v>1.1933876900619218</c:v>
                </c:pt>
                <c:pt idx="46">
                  <c:v>1.2517874621424336</c:v>
                </c:pt>
                <c:pt idx="47">
                  <c:v>1.2148239898779769</c:v>
                </c:pt>
                <c:pt idx="48">
                  <c:v>1.5273556358656104</c:v>
                </c:pt>
                <c:pt idx="49">
                  <c:v>2.0966409448814973</c:v>
                </c:pt>
                <c:pt idx="50">
                  <c:v>1.9285426431411385</c:v>
                </c:pt>
                <c:pt idx="51">
                  <c:v>1.1022684808614536</c:v>
                </c:pt>
                <c:pt idx="52">
                  <c:v>0.94837283863501942</c:v>
                </c:pt>
                <c:pt idx="53">
                  <c:v>0.65993453349702613</c:v>
                </c:pt>
                <c:pt idx="54">
                  <c:v>1.4059298172106613</c:v>
                </c:pt>
                <c:pt idx="55">
                  <c:v>0.61097996013862965</c:v>
                </c:pt>
                <c:pt idx="56">
                  <c:v>0.46928788354378786</c:v>
                </c:pt>
                <c:pt idx="57">
                  <c:v>1.6758231222098612</c:v>
                </c:pt>
                <c:pt idx="58">
                  <c:v>0.76312137341459907</c:v>
                </c:pt>
                <c:pt idx="59">
                  <c:v>2.205903911559524</c:v>
                </c:pt>
                <c:pt idx="60">
                  <c:v>1.0399470997898606</c:v>
                </c:pt>
                <c:pt idx="61">
                  <c:v>1.2758493678237133</c:v>
                </c:pt>
                <c:pt idx="62">
                  <c:v>0.69646922584699933</c:v>
                </c:pt>
                <c:pt idx="63">
                  <c:v>1.1001907116852394</c:v>
                </c:pt>
                <c:pt idx="64">
                  <c:v>0.87810325465570949</c:v>
                </c:pt>
                <c:pt idx="65">
                  <c:v>0.82996408069928473</c:v>
                </c:pt>
                <c:pt idx="66">
                  <c:v>0.50077613729599624</c:v>
                </c:pt>
                <c:pt idx="67">
                  <c:v>0.42175652168280586</c:v>
                </c:pt>
                <c:pt idx="68">
                  <c:v>0.87569145228570888</c:v>
                </c:pt>
                <c:pt idx="69">
                  <c:v>1.3508261100336876</c:v>
                </c:pt>
                <c:pt idx="70">
                  <c:v>1.2706303011409625</c:v>
                </c:pt>
                <c:pt idx="71">
                  <c:v>0.8244957361157772</c:v>
                </c:pt>
                <c:pt idx="72">
                  <c:v>1.7874740624661483</c:v>
                </c:pt>
                <c:pt idx="73">
                  <c:v>1.9957017850792456</c:v>
                </c:pt>
                <c:pt idx="74">
                  <c:v>1.036052298953948</c:v>
                </c:pt>
                <c:pt idx="75">
                  <c:v>0.75032336074924055</c:v>
                </c:pt>
                <c:pt idx="76">
                  <c:v>0.47908552794855702</c:v>
                </c:pt>
                <c:pt idx="77">
                  <c:v>1.5391520355284527</c:v>
                </c:pt>
                <c:pt idx="78">
                  <c:v>1.0026053691822714</c:v>
                </c:pt>
                <c:pt idx="79">
                  <c:v>1.4804477411334909</c:v>
                </c:pt>
                <c:pt idx="80">
                  <c:v>1.0970549326797987</c:v>
                </c:pt>
                <c:pt idx="81">
                  <c:v>1.2776186042494646</c:v>
                </c:pt>
                <c:pt idx="82">
                  <c:v>0.70504404337699489</c:v>
                </c:pt>
                <c:pt idx="83">
                  <c:v>1.3323309101342771</c:v>
                </c:pt>
                <c:pt idx="84">
                  <c:v>0.99458699495925385</c:v>
                </c:pt>
                <c:pt idx="85">
                  <c:v>1.4347621735247658</c:v>
                </c:pt>
                <c:pt idx="86">
                  <c:v>0.59564449843890954</c:v>
                </c:pt>
                <c:pt idx="87">
                  <c:v>0.57340602189972056</c:v>
                </c:pt>
                <c:pt idx="88">
                  <c:v>0.93946465281339875</c:v>
                </c:pt>
                <c:pt idx="89">
                  <c:v>0.98246436293832806</c:v>
                </c:pt>
                <c:pt idx="90">
                  <c:v>0.38366737528603767</c:v>
                </c:pt>
                <c:pt idx="91">
                  <c:v>0.9474479051795891</c:v>
                </c:pt>
                <c:pt idx="92">
                  <c:v>0.65426454441487025</c:v>
                </c:pt>
                <c:pt idx="93">
                  <c:v>1.0477101238458582</c:v>
                </c:pt>
                <c:pt idx="94">
                  <c:v>1.7621020516996728</c:v>
                </c:pt>
                <c:pt idx="95">
                  <c:v>1.3908559196346759</c:v>
                </c:pt>
                <c:pt idx="96">
                  <c:v>1.317957616202762</c:v>
                </c:pt>
                <c:pt idx="97">
                  <c:v>1.1858482342846723</c:v>
                </c:pt>
                <c:pt idx="98">
                  <c:v>1.1061845813502456</c:v>
                </c:pt>
                <c:pt idx="99">
                  <c:v>0.79868819320244588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3-4EBF-B773-789C8E09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646335"/>
        <c:axId val="1255664095"/>
      </c:scatterChart>
      <c:valAx>
        <c:axId val="125564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64095"/>
        <c:crosses val="autoZero"/>
        <c:crossBetween val="midCat"/>
      </c:valAx>
      <c:valAx>
        <c:axId val="125566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4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252938</xdr:colOff>
      <xdr:row>26</xdr:row>
      <xdr:rowOff>117833</xdr:rowOff>
    </xdr:from>
    <xdr:to>
      <xdr:col>14</xdr:col>
      <xdr:colOff>296714</xdr:colOff>
      <xdr:row>41</xdr:row>
      <xdr:rowOff>185407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71A6F-97F7-E17C-3279-D8CA89FC4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111</xdr:row>
      <xdr:rowOff>26670</xdr:rowOff>
    </xdr:from>
    <xdr:to>
      <xdr:col>7</xdr:col>
      <xdr:colOff>15240</xdr:colOff>
      <xdr:row>126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B84642-DE00-4D34-36D3-F856B8187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228600</xdr:colOff>
      <xdr:row>4</xdr:row>
      <xdr:rowOff>0</xdr:rowOff>
    </xdr:from>
    <xdr:to>
      <xdr:col>26</xdr:col>
      <xdr:colOff>533400</xdr:colOff>
      <xdr:row>18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2F87E2-825F-FD79-ABB5-F8C3C719C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283028</xdr:colOff>
      <xdr:row>25</xdr:row>
      <xdr:rowOff>65314</xdr:rowOff>
    </xdr:from>
    <xdr:to>
      <xdr:col>26</xdr:col>
      <xdr:colOff>587828</xdr:colOff>
      <xdr:row>39</xdr:row>
      <xdr:rowOff>163286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64C792-4A91-4D02-C579-DDF67C4F3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293914</xdr:colOff>
      <xdr:row>47</xdr:row>
      <xdr:rowOff>54428</xdr:rowOff>
    </xdr:from>
    <xdr:to>
      <xdr:col>26</xdr:col>
      <xdr:colOff>598714</xdr:colOff>
      <xdr:row>61</xdr:row>
      <xdr:rowOff>152399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1287D6-F07E-D354-CC75-F14431F4E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228600</xdr:colOff>
      <xdr:row>70</xdr:row>
      <xdr:rowOff>152400</xdr:rowOff>
    </xdr:from>
    <xdr:to>
      <xdr:col>26</xdr:col>
      <xdr:colOff>533400</xdr:colOff>
      <xdr:row>85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E1BD15-9410-3BFC-A838-40A02140A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315685</xdr:colOff>
      <xdr:row>91</xdr:row>
      <xdr:rowOff>141514</xdr:rowOff>
    </xdr:from>
    <xdr:to>
      <xdr:col>27</xdr:col>
      <xdr:colOff>10885</xdr:colOff>
      <xdr:row>106</xdr:row>
      <xdr:rowOff>54428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7BB549-11A9-AEE8-C678-DC491835A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CE3864F-258A-487B-8A07-31FFE3F3B8DD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1A37A4DD-1421-4733-BD45-E6AF68A3D91C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9F2D9E0-B156-488C-9FCB-BCF22128D843}">
  <we:reference id="01cd1c88-25e9-4daa-b0ef-32dc541ed811" version="2.0.0.0" store="EXCatalog" storeType="EXCatalog"/>
  <we:alternateReferences>
    <we:reference id="WA200000068" version="2.0.0.0" store="en-IN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opLeftCell="G25" zoomScale="87" zoomScaleNormal="65" workbookViewId="0">
      <selection activeCell="J17" sqref="J17"/>
    </sheetView>
  </sheetViews>
  <sheetFormatPr defaultRowHeight="14.4" x14ac:dyDescent="0.3"/>
  <cols>
    <col min="1" max="1" width="9" bestFit="1" customWidth="1"/>
    <col min="2" max="6" width="9.109375" bestFit="1" customWidth="1"/>
    <col min="7" max="7" width="13.109375" bestFit="1" customWidth="1"/>
    <col min="10" max="10" width="9.109375" bestFit="1" customWidth="1"/>
    <col min="11" max="12" width="19.77734375" customWidth="1"/>
    <col min="13" max="13" width="17.6640625" customWidth="1"/>
    <col min="14" max="14" width="16.88671875" customWidth="1"/>
    <col min="15" max="15" width="20.21875" customWidth="1"/>
    <col min="17" max="17" width="12.44140625" bestFit="1" customWidth="1"/>
    <col min="18" max="18" width="13.77734375" customWidth="1"/>
    <col min="19" max="19" width="14.88671875" customWidth="1"/>
    <col min="20" max="20" width="12.5546875" customWidth="1"/>
    <col min="21" max="21" width="12.6640625" customWidth="1"/>
    <col min="22" max="22" width="17.88671875" customWidth="1"/>
    <col min="23" max="23" width="15.88671875" customWidth="1"/>
    <col min="24" max="24" width="14.88671875" customWidth="1"/>
    <col min="25" max="25" width="18.6640625" customWidth="1"/>
    <col min="26" max="27" width="12.33203125" bestFit="1" customWidth="1"/>
    <col min="28" max="30" width="11.88671875" bestFit="1" customWidth="1"/>
  </cols>
  <sheetData>
    <row r="1" spans="1:18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11</v>
      </c>
      <c r="F1" s="1" t="s">
        <v>12</v>
      </c>
      <c r="G1" s="1" t="s">
        <v>14</v>
      </c>
      <c r="M1" s="4"/>
      <c r="N1" s="4"/>
      <c r="O1" s="4"/>
    </row>
    <row r="2" spans="1:18" x14ac:dyDescent="0.3">
      <c r="A2" s="2">
        <v>0.47461267833281184</v>
      </c>
      <c r="B2" s="2">
        <v>0.43261352817168947</v>
      </c>
      <c r="C2" s="2">
        <f>A2*B2</f>
        <v>0.20532386528857288</v>
      </c>
      <c r="D2" s="2">
        <f>A2*A2</f>
        <v>0.22525719443424513</v>
      </c>
      <c r="E2" s="2">
        <f t="shared" ref="E2:E33" si="0">J$9*A2+J$10</f>
        <v>0.49644773716690055</v>
      </c>
      <c r="F2" s="2">
        <f>E2-B2</f>
        <v>6.3834208995211084E-2</v>
      </c>
      <c r="G2" s="2">
        <f>F2*F2</f>
        <v>4.0748062380442877E-3</v>
      </c>
    </row>
    <row r="3" spans="1:18" x14ac:dyDescent="0.3">
      <c r="A3" s="2">
        <v>0.74522111847214556</v>
      </c>
      <c r="B3" s="2">
        <v>0.68255838105838473</v>
      </c>
      <c r="C3" s="2">
        <f>A3*B3</f>
        <v>0.50865692015486641</v>
      </c>
      <c r="D3" s="2">
        <f t="shared" ref="D3:D66" si="1">A3*A3</f>
        <v>0.55535451541687564</v>
      </c>
      <c r="E3" s="2">
        <f t="shared" si="0"/>
        <v>0.66316550846031497</v>
      </c>
      <c r="F3" s="2">
        <f t="shared" ref="F3:F66" si="2">E3-B3</f>
        <v>-1.9392872598069766E-2</v>
      </c>
      <c r="G3" s="2">
        <f t="shared" ref="G3:G66" si="3">F3*F3</f>
        <v>3.7608350760496521E-4</v>
      </c>
      <c r="I3" s="1" t="s">
        <v>2</v>
      </c>
      <c r="J3" s="2">
        <f>AVERAGE(A2:A101)</f>
        <v>0.53028059060718014</v>
      </c>
    </row>
    <row r="4" spans="1:18" x14ac:dyDescent="0.3">
      <c r="A4" s="2">
        <v>0.78367626103568155</v>
      </c>
      <c r="B4" s="2">
        <v>0.81159721683488995</v>
      </c>
      <c r="C4" s="2">
        <f t="shared" ref="C4:C67" si="4">A4*B4</f>
        <v>0.63602947235613183</v>
      </c>
      <c r="D4" s="2">
        <f t="shared" si="1"/>
        <v>0.6141484821108657</v>
      </c>
      <c r="E4" s="2">
        <f t="shared" si="0"/>
        <v>0.68685714076735671</v>
      </c>
      <c r="F4" s="2">
        <f t="shared" si="2"/>
        <v>-0.12474007606753323</v>
      </c>
      <c r="G4" s="2">
        <f t="shared" si="3"/>
        <v>1.5560086577333978E-2</v>
      </c>
      <c r="I4" s="1" t="s">
        <v>3</v>
      </c>
      <c r="J4" s="2">
        <f>AVERAGE(B2:B101)</f>
        <v>0.53074389682164513</v>
      </c>
    </row>
    <row r="5" spans="1:18" x14ac:dyDescent="0.3">
      <c r="A5" s="2">
        <v>0.51424339620781434</v>
      </c>
      <c r="B5" s="2">
        <v>0.44928826598805105</v>
      </c>
      <c r="C5" s="2">
        <f t="shared" si="4"/>
        <v>0.23104352377801521</v>
      </c>
      <c r="D5" s="2">
        <f t="shared" si="1"/>
        <v>0.26444627054334713</v>
      </c>
      <c r="E5" s="2">
        <f t="shared" si="0"/>
        <v>0.52086362366133709</v>
      </c>
      <c r="F5" s="2">
        <f t="shared" si="2"/>
        <v>7.1575357673286044E-2</v>
      </c>
      <c r="G5" s="2">
        <f t="shared" si="3"/>
        <v>5.1230318260588274E-3</v>
      </c>
      <c r="I5" s="1" t="s">
        <v>4</v>
      </c>
      <c r="J5" s="2">
        <f>AVERAGE(C2:C101)</f>
        <v>0.33887004625612294</v>
      </c>
      <c r="Q5" s="4"/>
    </row>
    <row r="6" spans="1:18" x14ac:dyDescent="0.3">
      <c r="A6" s="2">
        <v>0.92511887266091608</v>
      </c>
      <c r="B6" s="2">
        <v>0.86794130428388083</v>
      </c>
      <c r="C6" s="2">
        <f t="shared" si="4"/>
        <v>0.80294888095494898</v>
      </c>
      <c r="D6" s="2">
        <f t="shared" si="1"/>
        <v>0.85584492855340422</v>
      </c>
      <c r="E6" s="2">
        <f t="shared" si="0"/>
        <v>0.77399779670527735</v>
      </c>
      <c r="F6" s="2">
        <f t="shared" si="2"/>
        <v>-9.394350757860348E-2</v>
      </c>
      <c r="G6" s="2">
        <f t="shared" si="3"/>
        <v>8.8253826161711294E-3</v>
      </c>
      <c r="I6" s="1" t="s">
        <v>5</v>
      </c>
      <c r="J6" s="2">
        <f>AVERAGE(D2:D101)</f>
        <v>0.37441007993394926</v>
      </c>
      <c r="M6" t="s">
        <v>16</v>
      </c>
    </row>
    <row r="7" spans="1:18" ht="15" thickBot="1" x14ac:dyDescent="0.35">
      <c r="A7" s="2">
        <v>6.2868561759879538E-2</v>
      </c>
      <c r="B7" s="2">
        <v>0.29741795189970854</v>
      </c>
      <c r="C7" s="2">
        <f t="shared" si="4"/>
        <v>1.8698238877503708E-2</v>
      </c>
      <c r="D7" s="2">
        <f t="shared" si="1"/>
        <v>3.952456057755788E-3</v>
      </c>
      <c r="E7" s="2">
        <f t="shared" si="0"/>
        <v>0.24277840806958795</v>
      </c>
      <c r="F7" s="2">
        <f t="shared" si="2"/>
        <v>-5.4639543830120596E-2</v>
      </c>
      <c r="G7" s="2">
        <f t="shared" si="3"/>
        <v>2.9854797499636698E-3</v>
      </c>
      <c r="I7" s="1" t="s">
        <v>6</v>
      </c>
      <c r="J7" s="2">
        <f>J3*J3</f>
        <v>0.28119750477469979</v>
      </c>
    </row>
    <row r="8" spans="1:18" x14ac:dyDescent="0.3">
      <c r="A8" s="2">
        <v>0.86055351116304912</v>
      </c>
      <c r="B8" s="2">
        <v>0.76402754131303452</v>
      </c>
      <c r="C8" s="2">
        <f t="shared" si="4"/>
        <v>0.65748658330220344</v>
      </c>
      <c r="D8" s="2">
        <f t="shared" si="1"/>
        <v>0.74055234557505212</v>
      </c>
      <c r="E8" s="2">
        <f t="shared" si="0"/>
        <v>0.7342200530172549</v>
      </c>
      <c r="F8" s="2">
        <f t="shared" si="2"/>
        <v>-2.9807488295779616E-2</v>
      </c>
      <c r="G8" s="2">
        <f t="shared" si="3"/>
        <v>8.8848635850303885E-4</v>
      </c>
      <c r="I8" s="1"/>
      <c r="J8" s="2"/>
      <c r="M8" s="7" t="s">
        <v>17</v>
      </c>
      <c r="N8" s="7"/>
    </row>
    <row r="9" spans="1:18" x14ac:dyDescent="0.3">
      <c r="A9" s="2">
        <v>0.92491119339101657</v>
      </c>
      <c r="B9" s="2">
        <v>0.74947773739281165</v>
      </c>
      <c r="C9" s="2">
        <f t="shared" si="4"/>
        <v>0.69320034851198431</v>
      </c>
      <c r="D9" s="2">
        <f t="shared" si="1"/>
        <v>0.85546071565999449</v>
      </c>
      <c r="E9" s="2">
        <f t="shared" si="0"/>
        <v>0.77386984864495945</v>
      </c>
      <c r="F9" s="2">
        <f t="shared" si="2"/>
        <v>2.4392111252147797E-2</v>
      </c>
      <c r="G9" s="2">
        <f t="shared" si="3"/>
        <v>5.9497509133715515E-4</v>
      </c>
      <c r="I9" s="1" t="s">
        <v>9</v>
      </c>
      <c r="J9" s="2">
        <f>(J5-J3*J4)/(J6-J7)</f>
        <v>0.61608489080227113</v>
      </c>
      <c r="M9" t="s">
        <v>18</v>
      </c>
      <c r="N9">
        <v>0.94659646564921296</v>
      </c>
    </row>
    <row r="10" spans="1:18" x14ac:dyDescent="0.3">
      <c r="A10" s="2">
        <v>0.93958976531529759</v>
      </c>
      <c r="B10" s="2">
        <v>0.7151493458843915</v>
      </c>
      <c r="C10" s="2">
        <f t="shared" si="4"/>
        <v>0.67194700606490398</v>
      </c>
      <c r="D10" s="2">
        <f t="shared" si="1"/>
        <v>0.88282892708525595</v>
      </c>
      <c r="E10" s="2">
        <f t="shared" si="0"/>
        <v>0.78291309502606343</v>
      </c>
      <c r="F10" s="2">
        <f t="shared" si="2"/>
        <v>6.7763749141671936E-2</v>
      </c>
      <c r="G10" s="2">
        <f t="shared" si="3"/>
        <v>4.5919256977354442E-3</v>
      </c>
      <c r="I10" s="1" t="s">
        <v>10</v>
      </c>
      <c r="J10" s="2">
        <f>(J4*J6-J3*J5)/(J6-J7)</f>
        <v>0.20404603706285673</v>
      </c>
      <c r="M10" t="s">
        <v>19</v>
      </c>
      <c r="N10">
        <v>0.89604486877958156</v>
      </c>
    </row>
    <row r="11" spans="1:18" x14ac:dyDescent="0.3">
      <c r="A11" s="2">
        <v>0.49099303891136425</v>
      </c>
      <c r="B11" s="2">
        <v>0.55277454957131644</v>
      </c>
      <c r="C11" s="2">
        <f t="shared" si="4"/>
        <v>0.27140845592688123</v>
      </c>
      <c r="D11" s="2">
        <f t="shared" si="1"/>
        <v>0.24107416425941644</v>
      </c>
      <c r="E11" s="2">
        <f t="shared" si="0"/>
        <v>0.50653942982523992</v>
      </c>
      <c r="F11" s="2">
        <f t="shared" si="2"/>
        <v>-4.6235119746076525E-2</v>
      </c>
      <c r="G11" s="2">
        <f t="shared" si="3"/>
        <v>2.1376862979340353E-3</v>
      </c>
      <c r="I11" s="1" t="s">
        <v>13</v>
      </c>
      <c r="J11" s="2">
        <f>SUM(G2:G101)</f>
        <v>0.41392746356882276</v>
      </c>
      <c r="M11" t="s">
        <v>20</v>
      </c>
      <c r="N11">
        <v>0.89497316639586599</v>
      </c>
    </row>
    <row r="12" spans="1:18" x14ac:dyDescent="0.3">
      <c r="A12" s="2">
        <v>0.55901797995103142</v>
      </c>
      <c r="B12" s="2">
        <v>0.51264586426313941</v>
      </c>
      <c r="C12" s="2">
        <f t="shared" si="4"/>
        <v>0.28657825547063082</v>
      </c>
      <c r="D12" s="2">
        <f t="shared" si="1"/>
        <v>0.31250110190853175</v>
      </c>
      <c r="E12" s="2">
        <f t="shared" si="0"/>
        <v>0.5484485681974941</v>
      </c>
      <c r="F12" s="2">
        <f t="shared" si="2"/>
        <v>3.5802703934354696E-2</v>
      </c>
      <c r="G12" s="2">
        <f t="shared" si="3"/>
        <v>1.2818336090110573E-3</v>
      </c>
      <c r="I12" s="1" t="s">
        <v>15</v>
      </c>
      <c r="J12" s="2" cm="1">
        <f t="array" ref="J12">AVERAGE(ABS(F2:F101))</f>
        <v>5.5886747692561932E-2</v>
      </c>
      <c r="M12" t="s">
        <v>21</v>
      </c>
      <c r="N12">
        <v>6.4998819577240075E-2</v>
      </c>
    </row>
    <row r="13" spans="1:18" ht="15" thickBot="1" x14ac:dyDescent="0.35">
      <c r="A13" s="2">
        <v>0.27797419771294107</v>
      </c>
      <c r="B13" s="2">
        <v>0.44443129482786581</v>
      </c>
      <c r="C13" s="2">
        <f t="shared" si="4"/>
        <v>0.12354043261829957</v>
      </c>
      <c r="D13" s="2">
        <f t="shared" si="1"/>
        <v>7.7269654594153248E-2</v>
      </c>
      <c r="E13" s="2">
        <f t="shared" si="0"/>
        <v>0.37530174030668295</v>
      </c>
      <c r="F13" s="2">
        <f t="shared" si="2"/>
        <v>-6.9129554521182857E-2</v>
      </c>
      <c r="G13" s="2">
        <f t="shared" si="3"/>
        <v>4.7788953082971933E-3</v>
      </c>
      <c r="M13" s="5" t="s">
        <v>22</v>
      </c>
      <c r="N13" s="5">
        <v>99</v>
      </c>
    </row>
    <row r="14" spans="1:18" x14ac:dyDescent="0.3">
      <c r="A14" s="2">
        <v>0.49466554986470013</v>
      </c>
      <c r="B14" s="2">
        <v>0.53955192950192554</v>
      </c>
      <c r="C14" s="2">
        <f t="shared" si="4"/>
        <v>0.26689775188762993</v>
      </c>
      <c r="D14" s="2">
        <f t="shared" si="1"/>
        <v>0.24469400622294613</v>
      </c>
      <c r="E14" s="2">
        <f t="shared" si="0"/>
        <v>0.50880200833489586</v>
      </c>
      <c r="F14" s="2">
        <f t="shared" si="2"/>
        <v>-3.0749921167029681E-2</v>
      </c>
      <c r="G14" s="2">
        <f t="shared" si="3"/>
        <v>9.4555765177854008E-4</v>
      </c>
      <c r="I14" s="107" t="s">
        <v>40</v>
      </c>
      <c r="J14" s="107"/>
      <c r="K14" s="107"/>
      <c r="L14" s="9"/>
    </row>
    <row r="15" spans="1:18" ht="15" thickBot="1" x14ac:dyDescent="0.35">
      <c r="A15" s="2">
        <v>0.21873346974522323</v>
      </c>
      <c r="B15" s="2">
        <v>0.38664960613827359</v>
      </c>
      <c r="C15" s="2">
        <f t="shared" si="4"/>
        <v>8.4573209926248546E-2</v>
      </c>
      <c r="D15" s="2">
        <f t="shared" si="1"/>
        <v>4.7844330786784489E-2</v>
      </c>
      <c r="E15" s="2">
        <f t="shared" si="0"/>
        <v>0.3388044228856445</v>
      </c>
      <c r="F15" s="2">
        <f t="shared" si="2"/>
        <v>-4.7845183252629098E-2</v>
      </c>
      <c r="G15" s="2">
        <f t="shared" si="3"/>
        <v>2.28916156047766E-3</v>
      </c>
      <c r="I15" s="108" cm="1">
        <f t="array" ref="I15">SUMPRODUCT((A2:A101-J$3)*(B2:B101-J$4)) / SQRT(SUMPRODUCT((A2:A101-J$3)^2) * SUMPRODUCT((B2:B101-J$4)^2))</f>
        <v>0.9461812038637557</v>
      </c>
      <c r="J15" s="108"/>
      <c r="K15" s="108"/>
      <c r="L15" s="8"/>
      <c r="M15" t="s">
        <v>23</v>
      </c>
    </row>
    <row r="16" spans="1:18" x14ac:dyDescent="0.3">
      <c r="A16" s="2">
        <v>0.4858707521743395</v>
      </c>
      <c r="B16" s="2">
        <v>0.4110178911656247</v>
      </c>
      <c r="C16" s="2">
        <f t="shared" si="4"/>
        <v>0.1997015719377529</v>
      </c>
      <c r="D16" s="2">
        <f t="shared" si="1"/>
        <v>0.23607038781845843</v>
      </c>
      <c r="E16" s="2">
        <f t="shared" si="0"/>
        <v>0.50338366636020204</v>
      </c>
      <c r="F16" s="2">
        <f t="shared" si="2"/>
        <v>9.2365775194577338E-2</v>
      </c>
      <c r="G16" s="2">
        <f t="shared" si="3"/>
        <v>8.5314364272951974E-3</v>
      </c>
      <c r="M16" s="6"/>
      <c r="N16" s="6" t="s">
        <v>28</v>
      </c>
      <c r="O16" s="6" t="s">
        <v>29</v>
      </c>
      <c r="P16" s="6" t="s">
        <v>30</v>
      </c>
      <c r="Q16" s="6" t="s">
        <v>31</v>
      </c>
      <c r="R16" s="6" t="s">
        <v>32</v>
      </c>
    </row>
    <row r="17" spans="1:27" x14ac:dyDescent="0.3">
      <c r="A17" s="2">
        <v>0.67262619544158198</v>
      </c>
      <c r="B17" s="2">
        <v>0.67884863511012072</v>
      </c>
      <c r="C17" s="2">
        <f t="shared" si="4"/>
        <v>0.45661137471483121</v>
      </c>
      <c r="D17" s="2">
        <f t="shared" si="1"/>
        <v>0.45242599879421724</v>
      </c>
      <c r="E17" s="2">
        <f t="shared" si="0"/>
        <v>0.61844087323223085</v>
      </c>
      <c r="F17" s="2">
        <f t="shared" si="2"/>
        <v>-6.0407761877889876E-2</v>
      </c>
      <c r="G17" s="2">
        <f t="shared" si="3"/>
        <v>3.6490976950958455E-3</v>
      </c>
      <c r="I17" t="s">
        <v>41</v>
      </c>
      <c r="J17">
        <f>I15^2</f>
        <v>0.89525887054506603</v>
      </c>
      <c r="M17" t="s">
        <v>24</v>
      </c>
      <c r="N17">
        <v>1</v>
      </c>
      <c r="O17">
        <v>3.5323725381563444</v>
      </c>
      <c r="P17">
        <v>3.5323725381563444</v>
      </c>
      <c r="Q17">
        <v>836.09487334808659</v>
      </c>
      <c r="R17">
        <v>1.7692539757789105E-49</v>
      </c>
    </row>
    <row r="18" spans="1:27" x14ac:dyDescent="0.3">
      <c r="A18" s="2">
        <v>0.89541318735568853</v>
      </c>
      <c r="B18" s="2">
        <v>0.66622186483878487</v>
      </c>
      <c r="C18" s="2">
        <f t="shared" si="4"/>
        <v>0.59654384348134704</v>
      </c>
      <c r="D18" s="2">
        <f t="shared" si="1"/>
        <v>0.80176477609047336</v>
      </c>
      <c r="E18" s="2">
        <f t="shared" si="0"/>
        <v>0.75569657281779967</v>
      </c>
      <c r="F18" s="2">
        <f t="shared" si="2"/>
        <v>8.94747079790148E-2</v>
      </c>
      <c r="G18" s="2">
        <f t="shared" si="3"/>
        <v>8.005723367929974E-3</v>
      </c>
      <c r="I18" t="s">
        <v>42</v>
      </c>
      <c r="J18">
        <v>0.89604486877958156</v>
      </c>
      <c r="M18" t="s">
        <v>25</v>
      </c>
      <c r="N18">
        <v>97</v>
      </c>
      <c r="O18">
        <v>0.40981011500415693</v>
      </c>
      <c r="P18">
        <v>4.2248465464346076E-3</v>
      </c>
    </row>
    <row r="19" spans="1:27" ht="15" thickBot="1" x14ac:dyDescent="0.35">
      <c r="A19" s="2">
        <v>0.90117399798370845</v>
      </c>
      <c r="B19" s="2">
        <v>0.65212629441323466</v>
      </c>
      <c r="C19" s="2">
        <f t="shared" si="4"/>
        <v>0.58767925992667558</v>
      </c>
      <c r="D19" s="2">
        <f t="shared" si="1"/>
        <v>0.81211457464194092</v>
      </c>
      <c r="E19" s="2">
        <f t="shared" si="0"/>
        <v>0.75924572120449585</v>
      </c>
      <c r="F19" s="2">
        <f t="shared" si="2"/>
        <v>0.10711942679126119</v>
      </c>
      <c r="G19" s="2">
        <f t="shared" si="3"/>
        <v>1.1474571596088364E-2</v>
      </c>
      <c r="M19" s="5" t="s">
        <v>26</v>
      </c>
      <c r="N19" s="5">
        <v>98</v>
      </c>
      <c r="O19" s="5">
        <v>3.9421826531605015</v>
      </c>
      <c r="P19" s="5"/>
      <c r="Q19" s="5"/>
      <c r="R19" s="5"/>
    </row>
    <row r="20" spans="1:27" ht="15" thickBot="1" x14ac:dyDescent="0.35">
      <c r="A20" s="2">
        <v>0.57335015063459582</v>
      </c>
      <c r="B20" s="2">
        <v>0.46508836143507509</v>
      </c>
      <c r="C20" s="2">
        <f t="shared" si="4"/>
        <v>0.26665848208719767</v>
      </c>
      <c r="D20" s="2">
        <f t="shared" si="1"/>
        <v>0.32873039523271375</v>
      </c>
      <c r="E20" s="2">
        <f t="shared" si="0"/>
        <v>0.55727840200803747</v>
      </c>
      <c r="F20" s="2">
        <f t="shared" si="2"/>
        <v>9.2190040572962373E-2</v>
      </c>
      <c r="G20" s="2">
        <f t="shared" si="3"/>
        <v>8.4990035808444487E-3</v>
      </c>
    </row>
    <row r="21" spans="1:27" x14ac:dyDescent="0.3">
      <c r="A21" s="2">
        <v>1.3195462911787748E-2</v>
      </c>
      <c r="B21" s="2">
        <v>0.32092922264735685</v>
      </c>
      <c r="C21" s="2">
        <f t="shared" si="4"/>
        <v>4.2348096547520694E-3</v>
      </c>
      <c r="D21" s="2">
        <f t="shared" si="1"/>
        <v>1.7412024145636599E-4</v>
      </c>
      <c r="E21" s="2">
        <f t="shared" si="0"/>
        <v>0.21217556238995092</v>
      </c>
      <c r="F21" s="2">
        <f t="shared" si="2"/>
        <v>-0.10875366025740593</v>
      </c>
      <c r="G21" s="2">
        <f t="shared" si="3"/>
        <v>1.1827358619383275E-2</v>
      </c>
      <c r="M21" s="6"/>
      <c r="N21" s="6" t="s">
        <v>33</v>
      </c>
      <c r="O21" s="6" t="s">
        <v>21</v>
      </c>
      <c r="P21" s="6" t="s">
        <v>34</v>
      </c>
      <c r="Q21" s="6" t="s">
        <v>35</v>
      </c>
      <c r="R21" s="6" t="s">
        <v>36</v>
      </c>
      <c r="S21" s="6" t="s">
        <v>37</v>
      </c>
      <c r="T21" s="6" t="s">
        <v>38</v>
      </c>
      <c r="U21" s="6" t="s">
        <v>39</v>
      </c>
    </row>
    <row r="22" spans="1:27" x14ac:dyDescent="0.3">
      <c r="A22" s="2">
        <v>0.89948576606136443</v>
      </c>
      <c r="B22" s="2">
        <v>0.82071530506317469</v>
      </c>
      <c r="C22" s="2">
        <f t="shared" si="4"/>
        <v>0.73822173489303611</v>
      </c>
      <c r="D22" s="2">
        <f t="shared" si="1"/>
        <v>0.80907464334699963</v>
      </c>
      <c r="E22" s="2">
        <f t="shared" si="0"/>
        <v>0.75820562702496963</v>
      </c>
      <c r="F22" s="2">
        <f t="shared" si="2"/>
        <v>-6.2509678038205063E-2</v>
      </c>
      <c r="G22" s="2">
        <f t="shared" si="3"/>
        <v>3.9074598484400563E-3</v>
      </c>
      <c r="M22" t="s">
        <v>27</v>
      </c>
      <c r="N22">
        <v>0.20489531164443214</v>
      </c>
      <c r="O22">
        <v>1.3055302682548436E-2</v>
      </c>
      <c r="P22">
        <v>15.694412962046771</v>
      </c>
      <c r="Q22">
        <v>2.2655771633084923E-28</v>
      </c>
      <c r="R22">
        <v>0.17898414970994769</v>
      </c>
      <c r="S22">
        <v>0.23080647357891659</v>
      </c>
      <c r="T22">
        <v>0.17898414970994769</v>
      </c>
      <c r="U22">
        <v>0.23080647357891659</v>
      </c>
    </row>
    <row r="23" spans="1:27" ht="15" thickBot="1" x14ac:dyDescent="0.35">
      <c r="A23" s="2">
        <v>0.10526791435160987</v>
      </c>
      <c r="B23" s="2">
        <v>0.23724499811961441</v>
      </c>
      <c r="C23" s="2">
        <f t="shared" si="4"/>
        <v>2.4974286142403414E-2</v>
      </c>
      <c r="D23" s="2">
        <f t="shared" si="1"/>
        <v>1.1081333791937872E-2</v>
      </c>
      <c r="E23" s="2">
        <f t="shared" si="0"/>
        <v>0.26890000858115115</v>
      </c>
      <c r="F23" s="2">
        <f t="shared" si="2"/>
        <v>3.1655010461536737E-2</v>
      </c>
      <c r="G23" s="2">
        <f t="shared" si="3"/>
        <v>1.0020396873200003E-3</v>
      </c>
      <c r="M23" s="5">
        <v>0.47461267833281184</v>
      </c>
      <c r="N23" s="5">
        <v>0.61569968343768733</v>
      </c>
      <c r="O23" s="5">
        <v>2.1293210627278774E-2</v>
      </c>
      <c r="P23" s="5">
        <v>28.915305174735522</v>
      </c>
      <c r="Q23" s="5">
        <v>1.7692539757789105E-49</v>
      </c>
      <c r="R23" s="5">
        <v>0.57343855460104776</v>
      </c>
      <c r="S23" s="5">
        <v>0.6579608122743269</v>
      </c>
      <c r="T23" s="5">
        <v>0.57343855460104776</v>
      </c>
      <c r="U23" s="5">
        <v>0.6579608122743269</v>
      </c>
    </row>
    <row r="24" spans="1:27" x14ac:dyDescent="0.3">
      <c r="A24" s="2">
        <v>0.60111915205119459</v>
      </c>
      <c r="B24" s="2">
        <v>0.57958504433401936</v>
      </c>
      <c r="C24" s="2">
        <f t="shared" si="4"/>
        <v>0.34839967039161973</v>
      </c>
      <c r="D24" s="2">
        <f t="shared" si="1"/>
        <v>0.3613442349627472</v>
      </c>
      <c r="E24" s="2">
        <f t="shared" si="0"/>
        <v>0.57438646421347084</v>
      </c>
      <c r="F24" s="2">
        <f t="shared" si="2"/>
        <v>-5.1985801205485238E-3</v>
      </c>
      <c r="G24" s="2">
        <f t="shared" si="3"/>
        <v>2.7025235269762303E-5</v>
      </c>
    </row>
    <row r="25" spans="1:27" x14ac:dyDescent="0.3">
      <c r="A25" s="2">
        <v>0.89814676899681289</v>
      </c>
      <c r="B25" s="2">
        <v>0.74850171721692704</v>
      </c>
      <c r="C25" s="2">
        <f t="shared" si="4"/>
        <v>0.67226439890694911</v>
      </c>
      <c r="D25" s="2">
        <f t="shared" si="1"/>
        <v>0.80666761865941439</v>
      </c>
      <c r="E25" s="2">
        <f t="shared" si="0"/>
        <v>0.75738069116467088</v>
      </c>
      <c r="F25" s="2">
        <f t="shared" si="2"/>
        <v>8.8789739477438401E-3</v>
      </c>
      <c r="G25" s="2">
        <f t="shared" si="3"/>
        <v>7.8836178364713829E-5</v>
      </c>
    </row>
    <row r="26" spans="1:27" x14ac:dyDescent="0.3">
      <c r="A26" s="2">
        <v>0.21785024389596419</v>
      </c>
      <c r="B26" s="2">
        <v>0.3982286802703412</v>
      </c>
      <c r="C26" s="2">
        <f t="shared" si="4"/>
        <v>8.6754215123261771E-2</v>
      </c>
      <c r="D26" s="2">
        <f t="shared" si="1"/>
        <v>4.7458728765531082E-2</v>
      </c>
      <c r="E26" s="2">
        <f t="shared" si="0"/>
        <v>0.33826028078474996</v>
      </c>
      <c r="F26" s="2">
        <f t="shared" si="2"/>
        <v>-5.9968399485591239E-2</v>
      </c>
      <c r="G26" s="2">
        <f t="shared" si="3"/>
        <v>3.5962089368634597E-3</v>
      </c>
    </row>
    <row r="27" spans="1:27" x14ac:dyDescent="0.3">
      <c r="A27" s="2">
        <v>0.80412804634704094</v>
      </c>
      <c r="B27" s="2">
        <v>0.64716941986068943</v>
      </c>
      <c r="C27" s="2">
        <f t="shared" si="4"/>
        <v>0.52040708124812407</v>
      </c>
      <c r="D27" s="2">
        <f t="shared" si="1"/>
        <v>0.64662191492190879</v>
      </c>
      <c r="E27" s="2">
        <f t="shared" si="0"/>
        <v>0.69945717668761709</v>
      </c>
      <c r="F27" s="2">
        <f t="shared" si="2"/>
        <v>5.2287756826927656E-2</v>
      </c>
      <c r="G27" s="2">
        <f t="shared" si="3"/>
        <v>2.7340095139919197E-3</v>
      </c>
    </row>
    <row r="28" spans="1:27" x14ac:dyDescent="0.3">
      <c r="A28" s="2">
        <v>5.2182628990731006E-2</v>
      </c>
      <c r="B28" s="2">
        <v>0.31236087166255921</v>
      </c>
      <c r="C28" s="2">
        <f t="shared" si="4"/>
        <v>1.6299811477188668E-2</v>
      </c>
      <c r="D28" s="2">
        <f t="shared" si="1"/>
        <v>2.7230267683842802E-3</v>
      </c>
      <c r="E28" s="2">
        <f t="shared" si="0"/>
        <v>0.23619496634638668</v>
      </c>
      <c r="F28" s="2">
        <f t="shared" si="2"/>
        <v>-7.6165905316172539E-2</v>
      </c>
      <c r="G28" s="2">
        <f t="shared" si="3"/>
        <v>5.8012451326321605E-3</v>
      </c>
      <c r="V28" s="3"/>
      <c r="W28" s="3"/>
      <c r="X28" s="3"/>
      <c r="Z28" s="3"/>
      <c r="AA28" s="3"/>
    </row>
    <row r="29" spans="1:27" x14ac:dyDescent="0.3">
      <c r="A29" s="2">
        <v>0.34701188639554448</v>
      </c>
      <c r="B29" s="2">
        <v>0.44397234580704692</v>
      </c>
      <c r="C29" s="2">
        <f t="shared" si="4"/>
        <v>0.15406368122595834</v>
      </c>
      <c r="D29" s="2">
        <f t="shared" si="1"/>
        <v>0.12041724929979426</v>
      </c>
      <c r="E29" s="2">
        <f t="shared" si="0"/>
        <v>0.41783481719994586</v>
      </c>
      <c r="F29" s="2">
        <f t="shared" si="2"/>
        <v>-2.6137528607101057E-2</v>
      </c>
      <c r="G29" s="2">
        <f t="shared" si="3"/>
        <v>6.8317040168702618E-4</v>
      </c>
    </row>
    <row r="30" spans="1:27" x14ac:dyDescent="0.3">
      <c r="A30" s="2">
        <v>0.30319294777500083</v>
      </c>
      <c r="B30" s="2">
        <v>0.40420326051101885</v>
      </c>
      <c r="C30" s="2">
        <f t="shared" si="4"/>
        <v>0.12255157805460239</v>
      </c>
      <c r="D30" s="2">
        <f t="shared" si="1"/>
        <v>9.1925963580494388E-2</v>
      </c>
      <c r="E30" s="2">
        <f t="shared" si="0"/>
        <v>0.3908386311848368</v>
      </c>
      <c r="F30" s="2">
        <f t="shared" si="2"/>
        <v>-1.3364629326182043E-2</v>
      </c>
      <c r="G30" s="2">
        <f t="shared" si="3"/>
        <v>1.7861331702624506E-4</v>
      </c>
    </row>
    <row r="31" spans="1:27" x14ac:dyDescent="0.3">
      <c r="A31" s="2">
        <v>0.12077732837950161</v>
      </c>
      <c r="B31" s="2">
        <v>0.34675238240852235</v>
      </c>
      <c r="C31" s="2">
        <f t="shared" si="4"/>
        <v>4.1879826356528621E-2</v>
      </c>
      <c r="D31" s="2">
        <f t="shared" si="1"/>
        <v>1.4587163050489967E-2</v>
      </c>
      <c r="E31" s="2">
        <f t="shared" si="0"/>
        <v>0.27845512422893204</v>
      </c>
      <c r="F31" s="2">
        <f t="shared" si="2"/>
        <v>-6.8297258179590314E-2</v>
      </c>
      <c r="G31" s="2">
        <f t="shared" si="3"/>
        <v>4.6645154748496164E-3</v>
      </c>
    </row>
    <row r="32" spans="1:27" x14ac:dyDescent="0.3">
      <c r="A32" s="2">
        <v>0.68691773830175284</v>
      </c>
      <c r="B32" s="2">
        <v>0.53618150477829141</v>
      </c>
      <c r="C32" s="2">
        <f t="shared" si="4"/>
        <v>0.36831258658153443</v>
      </c>
      <c r="D32" s="2">
        <f t="shared" si="1"/>
        <v>0.4718559791935954</v>
      </c>
      <c r="E32" s="2">
        <f t="shared" si="0"/>
        <v>0.62724567685463517</v>
      </c>
      <c r="F32" s="2">
        <f t="shared" si="2"/>
        <v>9.1064172076343763E-2</v>
      </c>
      <c r="G32" s="2">
        <f t="shared" si="3"/>
        <v>8.2926834359499466E-3</v>
      </c>
    </row>
    <row r="33" spans="1:7" x14ac:dyDescent="0.3">
      <c r="A33" s="2">
        <v>0.90557687916141583</v>
      </c>
      <c r="B33" s="2">
        <v>0.64908190852237502</v>
      </c>
      <c r="C33" s="2">
        <f t="shared" si="4"/>
        <v>0.58779356903982793</v>
      </c>
      <c r="D33" s="2">
        <f t="shared" si="1"/>
        <v>0.82006948407172953</v>
      </c>
      <c r="E33" s="2">
        <f t="shared" si="0"/>
        <v>0.7619582697740791</v>
      </c>
      <c r="F33" s="2">
        <f t="shared" si="2"/>
        <v>0.11287636125170408</v>
      </c>
      <c r="G33" s="2">
        <f t="shared" si="3"/>
        <v>1.2741072929425203E-2</v>
      </c>
    </row>
    <row r="34" spans="1:7" x14ac:dyDescent="0.3">
      <c r="A34" s="2">
        <v>0.3608840837588716</v>
      </c>
      <c r="B34" s="2">
        <v>0.37524509358982872</v>
      </c>
      <c r="C34" s="2">
        <f t="shared" si="4"/>
        <v>0.13541998178517736</v>
      </c>
      <c r="D34" s="2">
        <f t="shared" si="1"/>
        <v>0.13023732191048026</v>
      </c>
      <c r="E34" s="2">
        <f t="shared" ref="E34:E65" si="5">J$9*A34+J$10</f>
        <v>0.42638126839771884</v>
      </c>
      <c r="F34" s="2">
        <f t="shared" si="2"/>
        <v>5.1136174807890122E-2</v>
      </c>
      <c r="G34" s="2">
        <f t="shared" si="3"/>
        <v>2.6149083739830962E-3</v>
      </c>
    </row>
    <row r="35" spans="1:7" x14ac:dyDescent="0.3">
      <c r="A35" s="2">
        <v>0.26058154953358714</v>
      </c>
      <c r="B35" s="2">
        <v>0.43375769225290267</v>
      </c>
      <c r="C35" s="2">
        <f t="shared" si="4"/>
        <v>0.11302925156937421</v>
      </c>
      <c r="D35" s="2">
        <f t="shared" si="1"/>
        <v>6.7902743957325332E-2</v>
      </c>
      <c r="E35" s="2">
        <f t="shared" si="5"/>
        <v>0.36458639255234337</v>
      </c>
      <c r="F35" s="2">
        <f t="shared" si="2"/>
        <v>-6.9171299700559297E-2</v>
      </c>
      <c r="G35" s="2">
        <f t="shared" si="3"/>
        <v>4.7846687022645943E-3</v>
      </c>
    </row>
    <row r="36" spans="1:7" x14ac:dyDescent="0.3">
      <c r="A36" s="2">
        <v>0.62960827766149974</v>
      </c>
      <c r="B36" s="2">
        <v>0.49173214662897324</v>
      </c>
      <c r="C36" s="2">
        <f t="shared" si="4"/>
        <v>0.30959862990985987</v>
      </c>
      <c r="D36" s="2">
        <f t="shared" si="1"/>
        <v>0.39640658329988016</v>
      </c>
      <c r="E36" s="2">
        <f t="shared" si="5"/>
        <v>0.59193818405414778</v>
      </c>
      <c r="F36" s="2">
        <f t="shared" si="2"/>
        <v>0.10020603742517453</v>
      </c>
      <c r="G36" s="2">
        <f t="shared" si="3"/>
        <v>1.0041249936455479E-2</v>
      </c>
    </row>
    <row r="37" spans="1:7" x14ac:dyDescent="0.3">
      <c r="A37" s="2">
        <v>0.83698648622291949</v>
      </c>
      <c r="B37" s="2">
        <v>0.84620067172306823</v>
      </c>
      <c r="C37" s="2">
        <f t="shared" si="4"/>
        <v>0.70825852686496504</v>
      </c>
      <c r="D37" s="2">
        <f t="shared" si="1"/>
        <v>0.70054637811978937</v>
      </c>
      <c r="E37" s="2">
        <f t="shared" si="5"/>
        <v>0.71970076503048075</v>
      </c>
      <c r="F37" s="2">
        <f t="shared" si="2"/>
        <v>-0.12649990669258748</v>
      </c>
      <c r="G37" s="2">
        <f t="shared" si="3"/>
        <v>1.600222639323334E-2</v>
      </c>
    </row>
    <row r="38" spans="1:7" x14ac:dyDescent="0.3">
      <c r="A38" s="2">
        <v>0.96827460859766834</v>
      </c>
      <c r="B38" s="2">
        <v>0.73627973022094784</v>
      </c>
      <c r="C38" s="2">
        <f t="shared" si="4"/>
        <v>0.7129209675980851</v>
      </c>
      <c r="D38" s="2">
        <f t="shared" si="1"/>
        <v>0.93755571765496781</v>
      </c>
      <c r="E38" s="2">
        <f t="shared" si="5"/>
        <v>0.80058539356736302</v>
      </c>
      <c r="F38" s="2">
        <f t="shared" si="2"/>
        <v>6.4305663346415187E-2</v>
      </c>
      <c r="G38" s="2">
        <f t="shared" si="3"/>
        <v>4.1352183384224857E-3</v>
      </c>
    </row>
    <row r="39" spans="1:7" x14ac:dyDescent="0.3">
      <c r="A39" s="2">
        <v>0.66549198827793632</v>
      </c>
      <c r="B39" s="2">
        <v>0.72127953292732239</v>
      </c>
      <c r="C39" s="2">
        <f t="shared" si="4"/>
        <v>0.48000575047198502</v>
      </c>
      <c r="D39" s="2">
        <f t="shared" si="1"/>
        <v>0.44287958646212094</v>
      </c>
      <c r="E39" s="2">
        <f t="shared" si="5"/>
        <v>0.61404559599085551</v>
      </c>
      <c r="F39" s="2">
        <f t="shared" si="2"/>
        <v>-0.10723393693646688</v>
      </c>
      <c r="G39" s="2">
        <f t="shared" si="3"/>
        <v>1.1499117230894156E-2</v>
      </c>
    </row>
    <row r="40" spans="1:7" x14ac:dyDescent="0.3">
      <c r="A40" s="2">
        <v>0.97703718225851299</v>
      </c>
      <c r="B40" s="2">
        <v>0.88956105778770467</v>
      </c>
      <c r="C40" s="2">
        <f t="shared" si="4"/>
        <v>0.86913422934780127</v>
      </c>
      <c r="D40" s="2">
        <f t="shared" si="1"/>
        <v>0.95460165551565479</v>
      </c>
      <c r="E40" s="2">
        <f t="shared" si="5"/>
        <v>0.8059838828043514</v>
      </c>
      <c r="F40" s="2">
        <f t="shared" si="2"/>
        <v>-8.3577174983353264E-2</v>
      </c>
      <c r="G40" s="2">
        <f t="shared" si="3"/>
        <v>6.9851441781980505E-3</v>
      </c>
    </row>
    <row r="41" spans="1:7" x14ac:dyDescent="0.3">
      <c r="A41" s="2">
        <v>0.41721564724490812</v>
      </c>
      <c r="B41" s="2">
        <v>0.43070938875103626</v>
      </c>
      <c r="C41" s="2">
        <f t="shared" si="4"/>
        <v>0.17969869640222233</v>
      </c>
      <c r="D41" s="2">
        <f t="shared" si="1"/>
        <v>0.1740688963059876</v>
      </c>
      <c r="E41" s="2">
        <f t="shared" si="5"/>
        <v>0.4610862935367348</v>
      </c>
      <c r="F41" s="2">
        <f t="shared" si="2"/>
        <v>3.0376904785698544E-2</v>
      </c>
      <c r="G41" s="2">
        <f t="shared" si="3"/>
        <v>9.2275634435939511E-4</v>
      </c>
    </row>
    <row r="42" spans="1:7" x14ac:dyDescent="0.3">
      <c r="A42" s="2">
        <v>1.0299258527148969E-2</v>
      </c>
      <c r="B42" s="2">
        <v>0.11219625656864281</v>
      </c>
      <c r="C42" s="2">
        <f t="shared" si="4"/>
        <v>1.1555382521787881E-3</v>
      </c>
      <c r="D42" s="2">
        <f t="shared" si="1"/>
        <v>1.0607472620905075E-4</v>
      </c>
      <c r="E42" s="2">
        <f t="shared" si="5"/>
        <v>0.21039125462789968</v>
      </c>
      <c r="F42" s="2">
        <f t="shared" si="2"/>
        <v>9.8194998059256869E-2</v>
      </c>
      <c r="G42" s="2">
        <f t="shared" si="3"/>
        <v>9.64225764385746E-3</v>
      </c>
    </row>
    <row r="43" spans="1:7" x14ac:dyDescent="0.3">
      <c r="A43" s="2">
        <v>7.8790750021327072E-2</v>
      </c>
      <c r="B43" s="2">
        <v>0.1862403115338091</v>
      </c>
      <c r="C43" s="2">
        <f t="shared" si="4"/>
        <v>1.4674013829954429E-2</v>
      </c>
      <c r="D43" s="2">
        <f t="shared" si="1"/>
        <v>6.2079822889232516E-3</v>
      </c>
      <c r="E43" s="2">
        <f t="shared" si="5"/>
        <v>0.25258782768597504</v>
      </c>
      <c r="F43" s="2">
        <f t="shared" si="2"/>
        <v>6.6347516152165942E-2</v>
      </c>
      <c r="G43" s="2">
        <f t="shared" si="3"/>
        <v>4.4019928995619202E-3</v>
      </c>
    </row>
    <row r="44" spans="1:7" x14ac:dyDescent="0.3">
      <c r="A44" s="2">
        <v>0.94522302338630648</v>
      </c>
      <c r="B44" s="2">
        <v>0.91147759087987901</v>
      </c>
      <c r="C44" s="2">
        <f t="shared" si="4"/>
        <v>0.86154960420034621</v>
      </c>
      <c r="D44" s="2">
        <f t="shared" si="1"/>
        <v>0.89344656393955013</v>
      </c>
      <c r="E44" s="2">
        <f t="shared" si="5"/>
        <v>0.78638366020960193</v>
      </c>
      <c r="F44" s="2">
        <f t="shared" si="2"/>
        <v>-0.12509393067027708</v>
      </c>
      <c r="G44" s="2">
        <f t="shared" si="3"/>
        <v>1.5648491490540088E-2</v>
      </c>
    </row>
    <row r="45" spans="1:7" x14ac:dyDescent="0.3">
      <c r="A45" s="2">
        <v>0.91056158328068904</v>
      </c>
      <c r="B45" s="2">
        <v>0.6891019966363584</v>
      </c>
      <c r="C45" s="2">
        <f t="shared" si="4"/>
        <v>0.62746980509908656</v>
      </c>
      <c r="D45" s="2">
        <f t="shared" si="1"/>
        <v>0.82912239694663514</v>
      </c>
      <c r="E45" s="2">
        <f t="shared" si="5"/>
        <v>0.76502927066708315</v>
      </c>
      <c r="F45" s="2">
        <f t="shared" si="2"/>
        <v>7.5927274030724745E-2</v>
      </c>
      <c r="G45" s="2">
        <f t="shared" si="3"/>
        <v>5.764950941736768E-3</v>
      </c>
    </row>
    <row r="46" spans="1:7" x14ac:dyDescent="0.3">
      <c r="A46" s="2">
        <v>9.4138000062018667E-2</v>
      </c>
      <c r="B46" s="2">
        <v>0.2997489928842863</v>
      </c>
      <c r="C46" s="2">
        <f t="shared" si="4"/>
        <v>2.8217770710730977E-2</v>
      </c>
      <c r="D46" s="2">
        <f t="shared" si="1"/>
        <v>8.861963055676627E-3</v>
      </c>
      <c r="E46" s="2">
        <f t="shared" si="5"/>
        <v>0.2620430365514097</v>
      </c>
      <c r="F46" s="2">
        <f t="shared" si="2"/>
        <v>-3.77059563328766E-2</v>
      </c>
      <c r="G46" s="2">
        <f t="shared" si="3"/>
        <v>1.4217391429767971E-3</v>
      </c>
    </row>
    <row r="47" spans="1:7" x14ac:dyDescent="0.3">
      <c r="A47" s="2">
        <v>0.72863515901828346</v>
      </c>
      <c r="B47" s="2">
        <v>0.59429426000280672</v>
      </c>
      <c r="C47" s="2">
        <f t="shared" si="4"/>
        <v>0.43302369264079815</v>
      </c>
      <c r="D47" s="2">
        <f t="shared" si="1"/>
        <v>0.53090919495759925</v>
      </c>
      <c r="E47" s="2">
        <f t="shared" si="5"/>
        <v>0.65294714944133136</v>
      </c>
      <c r="F47" s="2">
        <f t="shared" si="2"/>
        <v>5.8652889438524647E-2</v>
      </c>
      <c r="G47" s="2">
        <f t="shared" si="3"/>
        <v>3.4401614394877962E-3</v>
      </c>
    </row>
    <row r="48" spans="1:7" x14ac:dyDescent="0.3">
      <c r="A48" s="2">
        <v>0.19138347066899153</v>
      </c>
      <c r="B48" s="2">
        <v>0.3083837318453353</v>
      </c>
      <c r="C48" s="2">
        <f t="shared" si="4"/>
        <v>5.9019548898415874E-2</v>
      </c>
      <c r="D48" s="2">
        <f t="shared" si="1"/>
        <v>3.662763284530874E-2</v>
      </c>
      <c r="E48" s="2">
        <f t="shared" si="5"/>
        <v>0.32195450169132206</v>
      </c>
      <c r="F48" s="2">
        <f t="shared" si="2"/>
        <v>1.3570769845986763E-2</v>
      </c>
      <c r="G48" s="2">
        <f t="shared" si="3"/>
        <v>1.8416579421274361E-4</v>
      </c>
    </row>
    <row r="49" spans="1:7" x14ac:dyDescent="0.3">
      <c r="A49" s="2">
        <v>0.56492570581543267</v>
      </c>
      <c r="B49" s="2">
        <v>0.49220889984896032</v>
      </c>
      <c r="C49" s="2">
        <f t="shared" si="4"/>
        <v>0.27806146015581151</v>
      </c>
      <c r="D49" s="2">
        <f t="shared" si="1"/>
        <v>0.31914105309106477</v>
      </c>
      <c r="E49" s="2">
        <f t="shared" si="5"/>
        <v>0.55208822884155351</v>
      </c>
      <c r="F49" s="2">
        <f t="shared" si="2"/>
        <v>5.9879328992593184E-2</v>
      </c>
      <c r="G49" s="2">
        <f t="shared" si="3"/>
        <v>3.5855340406032105E-3</v>
      </c>
    </row>
    <row r="50" spans="1:7" x14ac:dyDescent="0.3">
      <c r="A50" s="2">
        <v>0.33617368343396137</v>
      </c>
      <c r="B50" s="2">
        <v>0.33652183987236295</v>
      </c>
      <c r="C50" s="2">
        <f t="shared" si="4"/>
        <v>0.11312978646586598</v>
      </c>
      <c r="D50" s="2">
        <f t="shared" si="1"/>
        <v>0.11301274543355727</v>
      </c>
      <c r="E50" s="2">
        <f t="shared" si="5"/>
        <v>0.4111575641118661</v>
      </c>
      <c r="F50" s="2">
        <f t="shared" si="2"/>
        <v>7.4635724239503154E-2</v>
      </c>
      <c r="G50" s="2">
        <f t="shared" si="3"/>
        <v>5.5704913327551588E-3</v>
      </c>
    </row>
    <row r="51" spans="1:7" x14ac:dyDescent="0.3">
      <c r="A51" s="2">
        <v>0.76273205512628295</v>
      </c>
      <c r="B51" s="2">
        <v>0.70275148391952413</v>
      </c>
      <c r="C51" s="2">
        <f t="shared" si="4"/>
        <v>0.53601108357298366</v>
      </c>
      <c r="D51" s="2">
        <f t="shared" si="1"/>
        <v>0.58176018791716311</v>
      </c>
      <c r="E51" s="2">
        <f t="shared" si="5"/>
        <v>0.67395373195672459</v>
      </c>
      <c r="F51" s="2">
        <f t="shared" si="2"/>
        <v>-2.8797751962799545E-2</v>
      </c>
      <c r="G51" s="2">
        <f t="shared" si="3"/>
        <v>8.2931051811092503E-4</v>
      </c>
    </row>
    <row r="52" spans="1:7" x14ac:dyDescent="0.3">
      <c r="A52" s="2">
        <v>0.50816971447729409</v>
      </c>
      <c r="B52" s="2">
        <v>0.49590623521970506</v>
      </c>
      <c r="C52" s="2">
        <f t="shared" si="4"/>
        <v>0.25200452995910738</v>
      </c>
      <c r="D52" s="2">
        <f t="shared" si="1"/>
        <v>0.25823645871193457</v>
      </c>
      <c r="E52" s="2">
        <f t="shared" si="5"/>
        <v>0.51712172011562174</v>
      </c>
      <c r="F52" s="2">
        <f t="shared" si="2"/>
        <v>2.1215484895916681E-2</v>
      </c>
      <c r="G52" s="2">
        <f t="shared" si="3"/>
        <v>4.5009679936886882E-4</v>
      </c>
    </row>
    <row r="53" spans="1:7" x14ac:dyDescent="0.3">
      <c r="A53" s="2">
        <v>5.3946604725891412E-2</v>
      </c>
      <c r="B53" s="2">
        <v>0.25205953656697822</v>
      </c>
      <c r="C53" s="2">
        <f t="shared" si="4"/>
        <v>1.3597756186570146E-2</v>
      </c>
      <c r="D53" s="2">
        <f t="shared" si="1"/>
        <v>2.9102361614515696E-3</v>
      </c>
      <c r="E53" s="2">
        <f t="shared" si="5"/>
        <v>0.23728172514456083</v>
      </c>
      <c r="F53" s="2">
        <f t="shared" si="2"/>
        <v>-1.4777811422417381E-2</v>
      </c>
      <c r="G53" s="2">
        <f t="shared" si="3"/>
        <v>2.1838371043652962E-4</v>
      </c>
    </row>
    <row r="54" spans="1:7" x14ac:dyDescent="0.3">
      <c r="A54" s="2">
        <v>0.85503758843977617</v>
      </c>
      <c r="B54" s="2">
        <v>0.78195236816211977</v>
      </c>
      <c r="C54" s="2">
        <f t="shared" si="4"/>
        <v>0.66859866714811089</v>
      </c>
      <c r="D54" s="2">
        <f t="shared" si="1"/>
        <v>0.73108927764490805</v>
      </c>
      <c r="E54" s="2">
        <f t="shared" si="5"/>
        <v>0.73082177636861345</v>
      </c>
      <c r="F54" s="2">
        <f t="shared" si="2"/>
        <v>-5.1130591793506319E-2</v>
      </c>
      <c r="G54" s="2">
        <f t="shared" si="3"/>
        <v>2.6143374171541758E-3</v>
      </c>
    </row>
    <row r="55" spans="1:7" x14ac:dyDescent="0.3">
      <c r="A55" s="2">
        <v>0.29340007608860508</v>
      </c>
      <c r="B55" s="2">
        <v>0.36349865139940168</v>
      </c>
      <c r="C55" s="2">
        <f t="shared" si="4"/>
        <v>0.10665053197868979</v>
      </c>
      <c r="D55" s="2">
        <f t="shared" si="1"/>
        <v>8.6083604648799245E-2</v>
      </c>
      <c r="E55" s="2">
        <f t="shared" si="5"/>
        <v>0.38480539090128307</v>
      </c>
      <c r="F55" s="2">
        <f t="shared" si="2"/>
        <v>2.1306739501881389E-2</v>
      </c>
      <c r="G55" s="2">
        <f t="shared" si="3"/>
        <v>4.5397714820103277E-4</v>
      </c>
    </row>
    <row r="56" spans="1:7" x14ac:dyDescent="0.3">
      <c r="A56" s="2">
        <v>0.35411189627530182</v>
      </c>
      <c r="B56" s="2">
        <v>0.45946671617606971</v>
      </c>
      <c r="C56" s="2">
        <f t="shared" si="4"/>
        <v>0.16270263014049394</v>
      </c>
      <c r="D56" s="2">
        <f t="shared" si="1"/>
        <v>0.1253952350836901</v>
      </c>
      <c r="E56" s="2">
        <f t="shared" si="5"/>
        <v>0.42220902601141119</v>
      </c>
      <c r="F56" s="2">
        <f t="shared" si="2"/>
        <v>-3.7257690164658519E-2</v>
      </c>
      <c r="G56" s="2">
        <f t="shared" si="3"/>
        <v>1.3881354764056922E-3</v>
      </c>
    </row>
    <row r="57" spans="1:7" x14ac:dyDescent="0.3">
      <c r="A57" s="2">
        <v>0.28524098853692414</v>
      </c>
      <c r="B57" s="2">
        <v>0.41370848157554141</v>
      </c>
      <c r="C57" s="2">
        <f t="shared" si="4"/>
        <v>0.1180066162507173</v>
      </c>
      <c r="D57" s="2">
        <f t="shared" si="1"/>
        <v>8.1362421541521693E-2</v>
      </c>
      <c r="E57" s="2">
        <f t="shared" si="5"/>
        <v>0.37977870033795952</v>
      </c>
      <c r="F57" s="2">
        <f t="shared" si="2"/>
        <v>-3.3929781237581891E-2</v>
      </c>
      <c r="G57" s="2">
        <f t="shared" si="3"/>
        <v>1.1512300548301641E-3</v>
      </c>
    </row>
    <row r="58" spans="1:7" x14ac:dyDescent="0.3">
      <c r="A58" s="2">
        <v>0.14880532665274115</v>
      </c>
      <c r="B58" s="2">
        <v>0.36970110393761968</v>
      </c>
      <c r="C58" s="2">
        <f t="shared" si="4"/>
        <v>5.5013493535316503E-2</v>
      </c>
      <c r="D58" s="2">
        <f t="shared" si="1"/>
        <v>2.2143025240228997E-2</v>
      </c>
      <c r="E58" s="2">
        <f t="shared" si="5"/>
        <v>0.29572275048450702</v>
      </c>
      <c r="F58" s="2">
        <f t="shared" si="2"/>
        <v>-7.3978353453112655E-2</v>
      </c>
      <c r="G58" s="2">
        <f t="shared" si="3"/>
        <v>5.4727967796336652E-3</v>
      </c>
    </row>
    <row r="59" spans="1:7" x14ac:dyDescent="0.3">
      <c r="A59" s="2">
        <v>0.59314132654639506</v>
      </c>
      <c r="B59" s="2">
        <v>0.55197844751117675</v>
      </c>
      <c r="C59" s="2">
        <f t="shared" si="4"/>
        <v>0.3274012285817991</v>
      </c>
      <c r="D59" s="2">
        <f t="shared" si="1"/>
        <v>0.35181663325721724</v>
      </c>
      <c r="E59" s="2">
        <f t="shared" si="5"/>
        <v>0.56947144645850678</v>
      </c>
      <c r="F59" s="2">
        <f t="shared" si="2"/>
        <v>1.749299894733003E-2</v>
      </c>
      <c r="G59" s="2">
        <f t="shared" si="3"/>
        <v>3.0600501217128951E-4</v>
      </c>
    </row>
    <row r="60" spans="1:7" x14ac:dyDescent="0.3">
      <c r="A60" s="2">
        <v>0.82249087867443393</v>
      </c>
      <c r="B60" s="2">
        <v>0.75865373301830485</v>
      </c>
      <c r="C60" s="2">
        <f t="shared" si="4"/>
        <v>0.623985775479865</v>
      </c>
      <c r="D60" s="2">
        <f t="shared" si="1"/>
        <v>0.67649124550264239</v>
      </c>
      <c r="E60" s="2">
        <f t="shared" si="5"/>
        <v>0.71077024023685942</v>
      </c>
      <c r="F60" s="2">
        <f t="shared" si="2"/>
        <v>-4.7883492781445436E-2</v>
      </c>
      <c r="G60" s="2">
        <f t="shared" si="3"/>
        <v>2.2928288809507371E-3</v>
      </c>
    </row>
    <row r="61" spans="1:7" x14ac:dyDescent="0.3">
      <c r="A61" s="2">
        <v>0.86434582925389836</v>
      </c>
      <c r="B61" s="2">
        <v>0.79022351938563629</v>
      </c>
      <c r="C61" s="2">
        <f t="shared" si="4"/>
        <v>0.68302640315931185</v>
      </c>
      <c r="D61" s="2">
        <f t="shared" si="1"/>
        <v>0.74709371254860923</v>
      </c>
      <c r="E61" s="2">
        <f t="shared" si="5"/>
        <v>0.73655644289414324</v>
      </c>
      <c r="F61" s="2">
        <f t="shared" si="2"/>
        <v>-5.3667076491493049E-2</v>
      </c>
      <c r="G61" s="2">
        <f t="shared" si="3"/>
        <v>2.8801550991437658E-3</v>
      </c>
    </row>
    <row r="62" spans="1:7" x14ac:dyDescent="0.3">
      <c r="A62" s="2">
        <v>0.47931622694976117</v>
      </c>
      <c r="B62" s="2">
        <v>0.42493242548929988</v>
      </c>
      <c r="C62" s="2">
        <f t="shared" si="4"/>
        <v>0.20367700689414173</v>
      </c>
      <c r="D62" s="2">
        <f t="shared" si="1"/>
        <v>0.22974404541735496</v>
      </c>
      <c r="E62" s="2">
        <f t="shared" si="5"/>
        <v>0.49934552240295693</v>
      </c>
      <c r="F62" s="2">
        <f t="shared" si="2"/>
        <v>7.4413096913657051E-2</v>
      </c>
      <c r="G62" s="2">
        <f t="shared" si="3"/>
        <v>5.5373089922813165E-3</v>
      </c>
    </row>
    <row r="63" spans="1:7" x14ac:dyDescent="0.3">
      <c r="A63" s="2">
        <v>0.97329157419321743</v>
      </c>
      <c r="B63" s="2">
        <v>0.87371234976016232</v>
      </c>
      <c r="C63" s="2">
        <f t="shared" si="4"/>
        <v>0.85037686829012338</v>
      </c>
      <c r="D63" s="2">
        <f t="shared" si="1"/>
        <v>0.94729648839551128</v>
      </c>
      <c r="E63" s="2">
        <f t="shared" si="5"/>
        <v>0.80367627026845567</v>
      </c>
      <c r="F63" s="2">
        <f t="shared" si="2"/>
        <v>-7.0036079491706649E-2</v>
      </c>
      <c r="G63" s="2">
        <f t="shared" si="3"/>
        <v>4.9050524305686528E-3</v>
      </c>
    </row>
    <row r="64" spans="1:7" x14ac:dyDescent="0.3">
      <c r="A64" s="2">
        <v>0.18439041582405757</v>
      </c>
      <c r="B64" s="2">
        <v>0.37084690022290512</v>
      </c>
      <c r="C64" s="2">
        <f t="shared" si="4"/>
        <v>6.838061413916427E-2</v>
      </c>
      <c r="D64" s="2">
        <f t="shared" si="1"/>
        <v>3.3999825447768861E-2</v>
      </c>
      <c r="E64" s="2">
        <f t="shared" si="5"/>
        <v>0.3176461862608066</v>
      </c>
      <c r="F64" s="2">
        <f t="shared" si="2"/>
        <v>-5.3200713962098523E-2</v>
      </c>
      <c r="G64" s="2">
        <f t="shared" si="3"/>
        <v>2.8303159660770247E-3</v>
      </c>
    </row>
    <row r="65" spans="1:7" x14ac:dyDescent="0.3">
      <c r="A65" s="2">
        <v>0.88039956333210889</v>
      </c>
      <c r="B65" s="2">
        <v>0.77901753074964941</v>
      </c>
      <c r="C65" s="2">
        <f t="shared" si="4"/>
        <v>0.68584669390004904</v>
      </c>
      <c r="D65" s="2">
        <f t="shared" si="1"/>
        <v>0.77510339111536797</v>
      </c>
      <c r="E65" s="2">
        <f t="shared" si="5"/>
        <v>0.74644690590068619</v>
      </c>
      <c r="F65" s="2">
        <f t="shared" si="2"/>
        <v>-3.2570624848963226E-2</v>
      </c>
      <c r="G65" s="2">
        <f t="shared" si="3"/>
        <v>1.0608456030519007E-3</v>
      </c>
    </row>
    <row r="66" spans="1:7" x14ac:dyDescent="0.3">
      <c r="A66" s="2">
        <v>0.12530690449276005</v>
      </c>
      <c r="B66" s="2">
        <v>0.23224960445334369</v>
      </c>
      <c r="C66" s="2">
        <f t="shared" si="4"/>
        <v>2.9102479003716437E-2</v>
      </c>
      <c r="D66" s="2">
        <f t="shared" si="1"/>
        <v>1.5701820313557689E-2</v>
      </c>
      <c r="E66" s="2">
        <f t="shared" ref="E66:E101" si="6">J$9*A66+J$10</f>
        <v>0.28124572763404942</v>
      </c>
      <c r="F66" s="2">
        <f t="shared" si="2"/>
        <v>4.8996123180705731E-2</v>
      </c>
      <c r="G66" s="2">
        <f t="shared" si="3"/>
        <v>2.4006200867388895E-3</v>
      </c>
    </row>
    <row r="67" spans="1:7" x14ac:dyDescent="0.3">
      <c r="A67" s="2">
        <v>0.5545073286885116</v>
      </c>
      <c r="B67" s="2">
        <v>0.45200995402182964</v>
      </c>
      <c r="C67" s="2">
        <f t="shared" si="4"/>
        <v>0.25064283214526173</v>
      </c>
      <c r="D67" s="2">
        <f t="shared" ref="D67:D101" si="7">A67*A67</f>
        <v>0.30747837756926905</v>
      </c>
      <c r="E67" s="2">
        <f t="shared" si="6"/>
        <v>0.54566962410697739</v>
      </c>
      <c r="F67" s="2">
        <f t="shared" ref="F67:F101" si="8">E67-B67</f>
        <v>9.365967008514775E-2</v>
      </c>
      <c r="G67" s="2">
        <f t="shared" ref="G67:G101" si="9">F67*F67</f>
        <v>8.7721338004587198E-3</v>
      </c>
    </row>
    <row r="68" spans="1:7" x14ac:dyDescent="0.3">
      <c r="A68" s="2">
        <v>0.14523864847476131</v>
      </c>
      <c r="B68" s="2">
        <v>0.27047234402558801</v>
      </c>
      <c r="C68" s="2">
        <f t="shared" ref="C68:C101" si="10">A68*B68</f>
        <v>3.9283037696077085E-2</v>
      </c>
      <c r="D68" s="2">
        <f t="shared" si="7"/>
        <v>2.1094265010775288E-2</v>
      </c>
      <c r="E68" s="2">
        <f t="shared" si="6"/>
        <v>0.29352537394869949</v>
      </c>
      <c r="F68" s="2">
        <f t="shared" si="8"/>
        <v>2.3053029923111479E-2</v>
      </c>
      <c r="G68" s="2">
        <f t="shared" si="9"/>
        <v>5.3144218863587322E-4</v>
      </c>
    </row>
    <row r="69" spans="1:7" x14ac:dyDescent="0.3">
      <c r="A69" s="2">
        <v>0.28014076642357622</v>
      </c>
      <c r="B69" s="2">
        <v>0.30736946927796149</v>
      </c>
      <c r="C69" s="2">
        <f t="shared" si="10"/>
        <v>8.6106718698735998E-2</v>
      </c>
      <c r="D69" s="2">
        <f t="shared" si="7"/>
        <v>7.8478849012388691E-2</v>
      </c>
      <c r="E69" s="2">
        <f t="shared" si="6"/>
        <v>0.37663653055419022</v>
      </c>
      <c r="F69" s="2">
        <f t="shared" si="8"/>
        <v>6.9267061276228725E-2</v>
      </c>
      <c r="G69" s="2">
        <f t="shared" si="9"/>
        <v>4.7979257778448248E-3</v>
      </c>
    </row>
    <row r="70" spans="1:7" x14ac:dyDescent="0.3">
      <c r="A70" s="2">
        <v>0.69389488361948504</v>
      </c>
      <c r="B70" s="2">
        <v>0.74059637393501387</v>
      </c>
      <c r="C70" s="2">
        <f t="shared" si="10"/>
        <v>0.51389603470064904</v>
      </c>
      <c r="D70" s="2">
        <f t="shared" si="7"/>
        <v>0.48149010951329868</v>
      </c>
      <c r="E70" s="2">
        <f t="shared" si="6"/>
        <v>0.63154419066582179</v>
      </c>
      <c r="F70" s="2">
        <f t="shared" si="8"/>
        <v>-0.10905218326919208</v>
      </c>
      <c r="G70" s="2">
        <f t="shared" si="9"/>
        <v>1.1892378675777457E-2</v>
      </c>
    </row>
    <row r="71" spans="1:7" x14ac:dyDescent="0.3">
      <c r="A71" s="2">
        <v>0.63038707268410776</v>
      </c>
      <c r="B71" s="2">
        <v>0.65696374730766405</v>
      </c>
      <c r="C71" s="2">
        <f t="shared" si="10"/>
        <v>0.4141414535248602</v>
      </c>
      <c r="D71" s="2">
        <f t="shared" si="7"/>
        <v>0.39738786140723859</v>
      </c>
      <c r="E71" s="2">
        <f t="shared" si="6"/>
        <v>0.59241798790060862</v>
      </c>
      <c r="F71" s="2">
        <f t="shared" si="8"/>
        <v>-6.4545759407055425E-2</v>
      </c>
      <c r="G71" s="2">
        <f t="shared" si="9"/>
        <v>4.1661550574334837E-3</v>
      </c>
    </row>
    <row r="72" spans="1:7" x14ac:dyDescent="0.3">
      <c r="A72" s="2">
        <v>0.42019968489970938</v>
      </c>
      <c r="B72" s="2">
        <v>0.45500668900069818</v>
      </c>
      <c r="C72" s="2">
        <f t="shared" si="10"/>
        <v>0.19119366734535345</v>
      </c>
      <c r="D72" s="2">
        <f t="shared" si="7"/>
        <v>0.17656777518981506</v>
      </c>
      <c r="E72" s="2">
        <f t="shared" si="6"/>
        <v>0.46292471404944291</v>
      </c>
      <c r="F72" s="2">
        <f t="shared" si="8"/>
        <v>7.9180250487447257E-3</v>
      </c>
      <c r="G72" s="2">
        <f t="shared" si="9"/>
        <v>6.2695120672548921E-5</v>
      </c>
    </row>
    <row r="73" spans="1:7" x14ac:dyDescent="0.3">
      <c r="A73" s="2">
        <v>0.53276843023752962</v>
      </c>
      <c r="B73" s="2">
        <v>0.44181511725254541</v>
      </c>
      <c r="C73" s="2">
        <f t="shared" si="10"/>
        <v>0.2353851464738487</v>
      </c>
      <c r="D73" s="2">
        <f t="shared" si="7"/>
        <v>0.28384220025776147</v>
      </c>
      <c r="E73" s="2">
        <f t="shared" si="6"/>
        <v>0.53227661722864261</v>
      </c>
      <c r="F73" s="2">
        <f t="shared" si="8"/>
        <v>9.0461499976097204E-2</v>
      </c>
      <c r="G73" s="2">
        <f t="shared" si="9"/>
        <v>8.1832829779254351E-3</v>
      </c>
    </row>
    <row r="74" spans="1:7" x14ac:dyDescent="0.3">
      <c r="A74" s="2">
        <v>0.40668176161430936</v>
      </c>
      <c r="B74" s="2">
        <v>0.49732102891431551</v>
      </c>
      <c r="C74" s="2">
        <f t="shared" si="10"/>
        <v>0.20225139212671472</v>
      </c>
      <c r="D74" s="2">
        <f t="shared" si="7"/>
        <v>0.16539005522971795</v>
      </c>
      <c r="E74" s="2">
        <f t="shared" si="6"/>
        <v>0.4545965257582838</v>
      </c>
      <c r="F74" s="2">
        <f t="shared" si="8"/>
        <v>-4.2724503156031712E-2</v>
      </c>
      <c r="G74" s="2">
        <f t="shared" si="9"/>
        <v>1.8253831699297637E-3</v>
      </c>
    </row>
    <row r="75" spans="1:7" x14ac:dyDescent="0.3">
      <c r="A75" s="2">
        <v>0.79934438448659162</v>
      </c>
      <c r="B75" s="2">
        <v>0.67077018043836301</v>
      </c>
      <c r="C75" s="2">
        <f t="shared" si="10"/>
        <v>0.5361763770144633</v>
      </c>
      <c r="D75" s="2">
        <f t="shared" si="7"/>
        <v>0.63895144501024803</v>
      </c>
      <c r="E75" s="2">
        <f t="shared" si="6"/>
        <v>0.69651003489268715</v>
      </c>
      <c r="F75" s="2">
        <f t="shared" si="8"/>
        <v>2.573985445432414E-2</v>
      </c>
      <c r="G75" s="2">
        <f t="shared" si="9"/>
        <v>6.6254010732979033E-4</v>
      </c>
    </row>
    <row r="76" spans="1:7" x14ac:dyDescent="0.3">
      <c r="A76" s="2">
        <v>0.86643018871094568</v>
      </c>
      <c r="B76" s="2">
        <v>0.79750737047927767</v>
      </c>
      <c r="C76" s="2">
        <f t="shared" si="10"/>
        <v>0.69098446150273063</v>
      </c>
      <c r="D76" s="2">
        <f t="shared" si="7"/>
        <v>0.75070127190968494</v>
      </c>
      <c r="E76" s="2">
        <f t="shared" si="6"/>
        <v>0.73784058526263085</v>
      </c>
      <c r="F76" s="2">
        <f t="shared" si="8"/>
        <v>-5.9666785216646812E-2</v>
      </c>
      <c r="G76" s="2">
        <f t="shared" si="9"/>
        <v>3.5601252580894625E-3</v>
      </c>
    </row>
    <row r="77" spans="1:7" x14ac:dyDescent="0.3">
      <c r="A77" s="2">
        <v>0.8322844551991988</v>
      </c>
      <c r="B77" s="2">
        <v>0.71306985210681084</v>
      </c>
      <c r="C77" s="2">
        <f t="shared" si="10"/>
        <v>0.59347695337969031</v>
      </c>
      <c r="D77" s="2">
        <f t="shared" si="7"/>
        <v>0.69269741436622712</v>
      </c>
      <c r="E77" s="2">
        <f t="shared" si="6"/>
        <v>0.71680391476068284</v>
      </c>
      <c r="F77" s="2">
        <f t="shared" si="8"/>
        <v>3.7340626538719945E-3</v>
      </c>
      <c r="G77" s="2">
        <f t="shared" si="9"/>
        <v>1.3943223903041563E-5</v>
      </c>
    </row>
    <row r="78" spans="1:7" x14ac:dyDescent="0.3">
      <c r="A78" s="2">
        <v>7.96261296272609E-2</v>
      </c>
      <c r="B78" s="2">
        <v>0.22749538465698904</v>
      </c>
      <c r="C78" s="2">
        <f t="shared" si="10"/>
        <v>1.811457698830099E-2</v>
      </c>
      <c r="D78" s="2">
        <f t="shared" si="7"/>
        <v>6.3403205194173563E-3</v>
      </c>
      <c r="E78" s="2">
        <f t="shared" si="6"/>
        <v>0.25310249243927524</v>
      </c>
      <c r="F78" s="2">
        <f t="shared" si="8"/>
        <v>2.5607107782286198E-2</v>
      </c>
      <c r="G78" s="2">
        <f t="shared" si="9"/>
        <v>6.5572396897362235E-4</v>
      </c>
    </row>
    <row r="79" spans="1:7" x14ac:dyDescent="0.3">
      <c r="A79" s="2">
        <v>0.56647229726526283</v>
      </c>
      <c r="B79" s="2">
        <v>0.50795291188066205</v>
      </c>
      <c r="C79" s="2">
        <f t="shared" si="10"/>
        <v>0.28774125289561825</v>
      </c>
      <c r="D79" s="2">
        <f t="shared" si="7"/>
        <v>0.32089086356898427</v>
      </c>
      <c r="E79" s="2">
        <f t="shared" si="6"/>
        <v>0.55304106046603785</v>
      </c>
      <c r="F79" s="2">
        <f t="shared" si="8"/>
        <v>4.5088148585375798E-2</v>
      </c>
      <c r="G79" s="2">
        <f t="shared" si="9"/>
        <v>2.0329411428569254E-3</v>
      </c>
    </row>
    <row r="80" spans="1:7" x14ac:dyDescent="0.3">
      <c r="A80" s="2">
        <v>2.593563781625885E-2</v>
      </c>
      <c r="B80" s="2">
        <v>0.19999212692780516</v>
      </c>
      <c r="C80" s="2">
        <f t="shared" si="10"/>
        <v>5.1869233701028229E-3</v>
      </c>
      <c r="D80" s="2">
        <f t="shared" si="7"/>
        <v>6.7265730893615607E-4</v>
      </c>
      <c r="E80" s="2">
        <f t="shared" si="6"/>
        <v>0.22002459165477381</v>
      </c>
      <c r="F80" s="2">
        <f t="shared" si="8"/>
        <v>2.0032464726968652E-2</v>
      </c>
      <c r="G80" s="2">
        <f t="shared" si="9"/>
        <v>4.0129964303724323E-4</v>
      </c>
    </row>
    <row r="81" spans="1:7" x14ac:dyDescent="0.3">
      <c r="A81" s="2">
        <v>0.26533386820579574</v>
      </c>
      <c r="B81" s="2">
        <v>0.33876499517480929</v>
      </c>
      <c r="C81" s="2">
        <f t="shared" si="10"/>
        <v>8.9885826582449882E-2</v>
      </c>
      <c r="D81" s="2">
        <f t="shared" si="7"/>
        <v>7.0402061617050579E-2</v>
      </c>
      <c r="E81" s="2">
        <f t="shared" si="6"/>
        <v>0.36751422428256864</v>
      </c>
      <c r="F81" s="2">
        <f t="shared" si="8"/>
        <v>2.8749229107759344E-2</v>
      </c>
      <c r="G81" s="2">
        <f t="shared" si="9"/>
        <v>8.2651817429043716E-4</v>
      </c>
    </row>
    <row r="82" spans="1:7" x14ac:dyDescent="0.3">
      <c r="A82" s="2">
        <v>0.92004747351331806</v>
      </c>
      <c r="B82" s="2">
        <v>0.73728055118598435</v>
      </c>
      <c r="C82" s="2">
        <f t="shared" si="10"/>
        <v>0.67833310838917149</v>
      </c>
      <c r="D82" s="2">
        <f t="shared" si="7"/>
        <v>0.84648735351823967</v>
      </c>
      <c r="E82" s="2">
        <f t="shared" si="6"/>
        <v>0.77087338431521468</v>
      </c>
      <c r="F82" s="2">
        <f t="shared" si="8"/>
        <v>3.3592833129230337E-2</v>
      </c>
      <c r="G82" s="2">
        <f t="shared" si="9"/>
        <v>1.1284784376483152E-3</v>
      </c>
    </row>
    <row r="83" spans="1:7" x14ac:dyDescent="0.3">
      <c r="A83" s="2">
        <v>0.81613985411024115</v>
      </c>
      <c r="B83" s="2">
        <v>0.6406855392789762</v>
      </c>
      <c r="C83" s="2">
        <f t="shared" si="10"/>
        <v>0.52288900255768478</v>
      </c>
      <c r="D83" s="2">
        <f t="shared" si="7"/>
        <v>0.66608426146708566</v>
      </c>
      <c r="E83" s="2">
        <f t="shared" si="6"/>
        <v>0.70685746996174614</v>
      </c>
      <c r="F83" s="2">
        <f t="shared" si="8"/>
        <v>6.6171930682769942E-2</v>
      </c>
      <c r="G83" s="2">
        <f t="shared" si="9"/>
        <v>4.3787244102853097E-3</v>
      </c>
    </row>
    <row r="84" spans="1:7" x14ac:dyDescent="0.3">
      <c r="A84" s="2">
        <v>1.8552054921190053E-2</v>
      </c>
      <c r="B84" s="2">
        <v>0.26381590243427799</v>
      </c>
      <c r="C84" s="2">
        <f t="shared" si="10"/>
        <v>4.8943271110440415E-3</v>
      </c>
      <c r="D84" s="2">
        <f t="shared" si="7"/>
        <v>3.4417874179885205E-4</v>
      </c>
      <c r="E84" s="2">
        <f t="shared" si="6"/>
        <v>0.21547567779313584</v>
      </c>
      <c r="F84" s="2">
        <f t="shared" si="8"/>
        <v>-4.8340224641142154E-2</v>
      </c>
      <c r="G84" s="2">
        <f t="shared" si="9"/>
        <v>2.3367773183560871E-3</v>
      </c>
    </row>
    <row r="85" spans="1:7" x14ac:dyDescent="0.3">
      <c r="A85" s="2">
        <v>8.0727016687708097E-2</v>
      </c>
      <c r="B85" s="2">
        <v>0.30815921310839012</v>
      </c>
      <c r="C85" s="2">
        <f t="shared" si="10"/>
        <v>2.4876773939072006E-2</v>
      </c>
      <c r="D85" s="2">
        <f t="shared" si="7"/>
        <v>6.5168512232975017E-3</v>
      </c>
      <c r="E85" s="2">
        <f t="shared" si="6"/>
        <v>0.25378073232369647</v>
      </c>
      <c r="F85" s="2">
        <f t="shared" si="8"/>
        <v>-5.437848078469365E-2</v>
      </c>
      <c r="G85" s="2">
        <f t="shared" si="9"/>
        <v>2.9570191724512967E-3</v>
      </c>
    </row>
    <row r="86" spans="1:7" x14ac:dyDescent="0.3">
      <c r="A86" s="2">
        <v>7.2974681620635473E-2</v>
      </c>
      <c r="B86" s="2">
        <v>0.25772840172413225</v>
      </c>
      <c r="C86" s="2">
        <f t="shared" si="10"/>
        <v>1.8807648060413788E-2</v>
      </c>
      <c r="D86" s="2">
        <f t="shared" si="7"/>
        <v>5.3253041576331126E-3</v>
      </c>
      <c r="E86" s="2">
        <f t="shared" si="6"/>
        <v>0.24900463582043644</v>
      </c>
      <c r="F86" s="2">
        <f t="shared" si="8"/>
        <v>-8.7237659036958071E-3</v>
      </c>
      <c r="G86" s="2">
        <f t="shared" si="9"/>
        <v>7.6104091542485521E-5</v>
      </c>
    </row>
    <row r="87" spans="1:7" x14ac:dyDescent="0.3">
      <c r="A87" s="2">
        <v>0.90909606162409806</v>
      </c>
      <c r="B87" s="2">
        <v>0.64810372943867733</v>
      </c>
      <c r="C87" s="2">
        <f t="shared" si="10"/>
        <v>0.58918854795659159</v>
      </c>
      <c r="D87" s="2">
        <f t="shared" si="7"/>
        <v>0.8264556492604459</v>
      </c>
      <c r="E87" s="2">
        <f t="shared" si="6"/>
        <v>0.76412638491731388</v>
      </c>
      <c r="F87" s="2">
        <f t="shared" si="8"/>
        <v>0.11602265547863655</v>
      </c>
      <c r="G87" s="2">
        <f t="shared" si="9"/>
        <v>1.3461256584314392E-2</v>
      </c>
    </row>
    <row r="88" spans="1:7" x14ac:dyDescent="0.3">
      <c r="A88" s="2">
        <v>0.56109074718901319</v>
      </c>
      <c r="B88" s="2">
        <v>0.51675555692790198</v>
      </c>
      <c r="C88" s="2">
        <f t="shared" si="10"/>
        <v>0.28994676155075116</v>
      </c>
      <c r="D88" s="2">
        <f t="shared" si="7"/>
        <v>0.31482282658112509</v>
      </c>
      <c r="E88" s="2">
        <f t="shared" si="6"/>
        <v>0.5497255687749647</v>
      </c>
      <c r="F88" s="2">
        <f t="shared" si="8"/>
        <v>3.2970011847062719E-2</v>
      </c>
      <c r="G88" s="2">
        <f t="shared" si="9"/>
        <v>1.087021681195456E-3</v>
      </c>
    </row>
    <row r="89" spans="1:7" x14ac:dyDescent="0.3">
      <c r="A89" s="2">
        <v>2.3926886226807498E-2</v>
      </c>
      <c r="B89" s="2">
        <v>0.13167173308608576</v>
      </c>
      <c r="C89" s="2">
        <f t="shared" si="10"/>
        <v>3.1504945768373385E-3</v>
      </c>
      <c r="D89" s="2">
        <f t="shared" si="7"/>
        <v>5.7249588451059033E-4</v>
      </c>
      <c r="E89" s="2">
        <f t="shared" si="6"/>
        <v>0.21878703015113779</v>
      </c>
      <c r="F89" s="2">
        <f t="shared" si="8"/>
        <v>8.7115297065052028E-2</v>
      </c>
      <c r="G89" s="2">
        <f t="shared" si="9"/>
        <v>7.5890749827322622E-3</v>
      </c>
    </row>
    <row r="90" spans="1:7" x14ac:dyDescent="0.3">
      <c r="A90" s="2">
        <v>0.81651577231612948</v>
      </c>
      <c r="B90" s="2">
        <v>0.63161946937716262</v>
      </c>
      <c r="C90" s="2">
        <f t="shared" si="10"/>
        <v>0.51572725884839787</v>
      </c>
      <c r="D90" s="2">
        <f t="shared" si="7"/>
        <v>0.66669800644100541</v>
      </c>
      <c r="E90" s="2">
        <f t="shared" si="6"/>
        <v>0.70708906748857148</v>
      </c>
      <c r="F90" s="2">
        <f t="shared" si="8"/>
        <v>7.5469598111408853E-2</v>
      </c>
      <c r="G90" s="2">
        <f t="shared" si="9"/>
        <v>5.6956602390975664E-3</v>
      </c>
    </row>
    <row r="91" spans="1:7" x14ac:dyDescent="0.3">
      <c r="A91" s="2">
        <v>0.85634176556674302</v>
      </c>
      <c r="B91" s="2">
        <v>0.77307095404179105</v>
      </c>
      <c r="C91" s="2">
        <f t="shared" si="10"/>
        <v>0.66201294569251379</v>
      </c>
      <c r="D91" s="2">
        <f t="shared" si="7"/>
        <v>0.73332121945396667</v>
      </c>
      <c r="E91" s="2">
        <f t="shared" si="6"/>
        <v>0.73162526019146767</v>
      </c>
      <c r="F91" s="2">
        <f t="shared" si="8"/>
        <v>-4.1445693850323373E-2</v>
      </c>
      <c r="G91" s="2">
        <f t="shared" si="9"/>
        <v>1.7177455387347327E-3</v>
      </c>
    </row>
    <row r="92" spans="1:7" x14ac:dyDescent="0.3">
      <c r="A92" s="2">
        <v>0.26055252619903968</v>
      </c>
      <c r="B92" s="2">
        <v>0.33394306034970411</v>
      </c>
      <c r="C92" s="2">
        <f t="shared" si="10"/>
        <v>8.7009707980753775E-2</v>
      </c>
      <c r="D92" s="2">
        <f t="shared" si="7"/>
        <v>6.7887618908701264E-2</v>
      </c>
      <c r="E92" s="2">
        <f t="shared" si="6"/>
        <v>0.36456851171444798</v>
      </c>
      <c r="F92" s="2">
        <f t="shared" si="8"/>
        <v>3.0625451364743872E-2</v>
      </c>
      <c r="G92" s="2">
        <f t="shared" si="9"/>
        <v>9.379182712942923E-4</v>
      </c>
    </row>
    <row r="93" spans="1:7" x14ac:dyDescent="0.3">
      <c r="A93" s="2">
        <v>0.47633629017683343</v>
      </c>
      <c r="B93" s="2">
        <v>0.51704788397609558</v>
      </c>
      <c r="C93" s="2">
        <f t="shared" si="10"/>
        <v>0.24628867089695516</v>
      </c>
      <c r="D93" s="2">
        <f t="shared" si="7"/>
        <v>0.22689626133942847</v>
      </c>
      <c r="E93" s="2">
        <f t="shared" si="6"/>
        <v>0.49750962838161011</v>
      </c>
      <c r="F93" s="2">
        <f t="shared" si="8"/>
        <v>-1.9538255594485465E-2</v>
      </c>
      <c r="G93" s="2">
        <f t="shared" si="9"/>
        <v>3.817434316754426E-4</v>
      </c>
    </row>
    <row r="94" spans="1:7" x14ac:dyDescent="0.3">
      <c r="A94" s="2">
        <v>0.36871659815114866</v>
      </c>
      <c r="B94" s="2">
        <v>0.47498722303252572</v>
      </c>
      <c r="C94" s="2">
        <f t="shared" si="10"/>
        <v>0.17513567304181379</v>
      </c>
      <c r="D94" s="2">
        <f t="shared" si="7"/>
        <v>0.13595192975215564</v>
      </c>
      <c r="E94" s="2">
        <f t="shared" si="6"/>
        <v>0.43120676217179205</v>
      </c>
      <c r="F94" s="2">
        <f t="shared" si="8"/>
        <v>-4.3780460860733672E-2</v>
      </c>
      <c r="G94" s="2">
        <f t="shared" si="9"/>
        <v>1.916728753178233E-3</v>
      </c>
    </row>
    <row r="95" spans="1:7" x14ac:dyDescent="0.3">
      <c r="A95" s="2">
        <v>0.79999835530122965</v>
      </c>
      <c r="B95" s="2">
        <v>0.73453861724285541</v>
      </c>
      <c r="C95" s="2">
        <f t="shared" si="10"/>
        <v>0.58762968569952378</v>
      </c>
      <c r="D95" s="2">
        <f t="shared" si="7"/>
        <v>0.63999736848467248</v>
      </c>
      <c r="E95" s="2">
        <f t="shared" si="6"/>
        <v>0.69691293643061125</v>
      </c>
      <c r="F95" s="2">
        <f t="shared" si="8"/>
        <v>-3.7625680812244156E-2</v>
      </c>
      <c r="G95" s="2">
        <f t="shared" si="9"/>
        <v>1.4156918565848781E-3</v>
      </c>
    </row>
    <row r="96" spans="1:7" x14ac:dyDescent="0.3">
      <c r="A96" s="2">
        <v>0.95699065867861133</v>
      </c>
      <c r="B96" s="2">
        <v>0.80097678521929949</v>
      </c>
      <c r="C96" s="2">
        <f t="shared" si="10"/>
        <v>0.76652730127329405</v>
      </c>
      <c r="D96" s="2">
        <f t="shared" si="7"/>
        <v>0.91583112079812234</v>
      </c>
      <c r="E96" s="2">
        <f t="shared" si="6"/>
        <v>0.79363352251366248</v>
      </c>
      <c r="F96" s="2">
        <f t="shared" si="8"/>
        <v>-7.3432627056370103E-3</v>
      </c>
      <c r="G96" s="2">
        <f t="shared" si="9"/>
        <v>5.3923507163999387E-5</v>
      </c>
    </row>
    <row r="97" spans="1:7" x14ac:dyDescent="0.3">
      <c r="A97" s="2">
        <v>0.60657373835740036</v>
      </c>
      <c r="B97" s="2">
        <v>0.61328241223257818</v>
      </c>
      <c r="C97" s="2">
        <f t="shared" si="10"/>
        <v>0.37200100545675924</v>
      </c>
      <c r="D97" s="2">
        <f t="shared" si="7"/>
        <v>0.36793170006487197</v>
      </c>
      <c r="E97" s="2">
        <f t="shared" si="6"/>
        <v>0.57774695242230112</v>
      </c>
      <c r="F97" s="2">
        <f t="shared" si="8"/>
        <v>-3.5535459810277059E-2</v>
      </c>
      <c r="G97" s="2">
        <f t="shared" si="9"/>
        <v>1.2627689039278161E-3</v>
      </c>
    </row>
    <row r="98" spans="1:7" x14ac:dyDescent="0.3">
      <c r="A98" s="2">
        <v>0.87287495648026114</v>
      </c>
      <c r="B98" s="2">
        <v>0.8683936499477668</v>
      </c>
      <c r="C98" s="2">
        <f t="shared" si="10"/>
        <v>0.75799906940589212</v>
      </c>
      <c r="D98" s="2">
        <f t="shared" si="7"/>
        <v>0.76191068965041775</v>
      </c>
      <c r="E98" s="2">
        <f t="shared" si="6"/>
        <v>0.74181110931003558</v>
      </c>
      <c r="F98" s="2">
        <f t="shared" si="8"/>
        <v>-0.12658254063773122</v>
      </c>
      <c r="G98" s="2">
        <f t="shared" si="9"/>
        <v>1.6023139594302876E-2</v>
      </c>
    </row>
    <row r="99" spans="1:7" x14ac:dyDescent="0.3">
      <c r="A99" s="2">
        <v>0.71668752597343455</v>
      </c>
      <c r="B99" s="2">
        <v>0.67150255200813191</v>
      </c>
      <c r="C99" s="2">
        <f t="shared" si="10"/>
        <v>0.4812575026835556</v>
      </c>
      <c r="D99" s="2">
        <f t="shared" si="7"/>
        <v>0.51364100988592243</v>
      </c>
      <c r="E99" s="2">
        <f t="shared" si="6"/>
        <v>0.64558639324154998</v>
      </c>
      <c r="F99" s="2">
        <f t="shared" si="8"/>
        <v>-2.5916158766581932E-2</v>
      </c>
      <c r="G99" s="2">
        <f t="shared" si="9"/>
        <v>6.7164728521468145E-4</v>
      </c>
    </row>
    <row r="100" spans="1:7" x14ac:dyDescent="0.3">
      <c r="A100" s="2">
        <v>0.46722425337628815</v>
      </c>
      <c r="B100" s="2">
        <v>0.51723516820435411</v>
      </c>
      <c r="C100" s="2">
        <f t="shared" si="10"/>
        <v>0.24166481528423817</v>
      </c>
      <c r="D100" s="2">
        <f t="shared" si="7"/>
        <v>0.21829850294302991</v>
      </c>
      <c r="E100" s="2">
        <f t="shared" si="6"/>
        <v>0.49189584018435989</v>
      </c>
      <c r="F100" s="2">
        <f t="shared" si="8"/>
        <v>-2.5339328019994223E-2</v>
      </c>
      <c r="G100" s="2">
        <f t="shared" si="9"/>
        <v>6.4208154450486434E-4</v>
      </c>
    </row>
    <row r="101" spans="1:7" x14ac:dyDescent="0.3">
      <c r="A101" s="2">
        <v>0.41164223720157911</v>
      </c>
      <c r="B101" s="2">
        <v>0.35653122715166752</v>
      </c>
      <c r="C101" s="2">
        <f t="shared" si="10"/>
        <v>0.14676331197693679</v>
      </c>
      <c r="D101" s="2">
        <f t="shared" si="7"/>
        <v>0.16944933144832111</v>
      </c>
      <c r="E101" s="2">
        <f t="shared" si="6"/>
        <v>0.45765259981879419</v>
      </c>
      <c r="F101" s="2">
        <f t="shared" si="8"/>
        <v>0.10112137266712667</v>
      </c>
      <c r="G101" s="2">
        <f t="shared" si="9"/>
        <v>1.0225532010083914E-2</v>
      </c>
    </row>
  </sheetData>
  <sortState xmlns:xlrd2="http://schemas.microsoft.com/office/spreadsheetml/2017/richdata2" ref="AA29:AA127">
    <sortCondition ref="AA29"/>
  </sortState>
  <mergeCells count="2">
    <mergeCell ref="I14:K14"/>
    <mergeCell ref="I15:K15"/>
  </mergeCells>
  <pageMargins left="0.7" right="0.7" top="0.75" bottom="0.75" header="0.3" footer="0.3"/>
  <pageSetup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1A37A4DD-1421-4733-BD45-E6AF68A3D91C}">
          <xm:f>Sheet1!1:1048576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66EB-5AE1-46D4-BB1C-4F8B0981EA01}">
  <dimension ref="A1:S111"/>
  <sheetViews>
    <sheetView tabSelected="1" zoomScale="70" zoomScaleNormal="70" workbookViewId="0">
      <selection activeCell="R15" sqref="R15"/>
    </sheetView>
  </sheetViews>
  <sheetFormatPr defaultRowHeight="14.4" x14ac:dyDescent="0.3"/>
  <cols>
    <col min="4" max="4" width="10.109375" customWidth="1"/>
    <col min="5" max="5" width="10.33203125" customWidth="1"/>
    <col min="6" max="6" width="11.109375" customWidth="1"/>
    <col min="7" max="7" width="10.33203125" customWidth="1"/>
    <col min="8" max="8" width="10" customWidth="1"/>
    <col min="11" max="11" width="19.88671875" customWidth="1"/>
    <col min="12" max="12" width="14" customWidth="1"/>
    <col min="13" max="13" width="16" customWidth="1"/>
    <col min="14" max="14" width="10.6640625" customWidth="1"/>
    <col min="16" max="16" width="14.5546875" customWidth="1"/>
    <col min="17" max="17" width="12.109375" customWidth="1"/>
    <col min="18" max="18" width="12.6640625" customWidth="1"/>
    <col min="19" max="19" width="15.6640625" customWidth="1"/>
  </cols>
  <sheetData>
    <row r="1" spans="1:19" x14ac:dyDescent="0.3">
      <c r="A1" s="1" t="s">
        <v>0</v>
      </c>
      <c r="B1" s="1" t="s">
        <v>1</v>
      </c>
      <c r="D1" s="12" t="s">
        <v>44</v>
      </c>
      <c r="E1" s="13" t="s">
        <v>45</v>
      </c>
      <c r="F1" s="14" t="s">
        <v>46</v>
      </c>
      <c r="G1" s="15" t="s">
        <v>47</v>
      </c>
      <c r="H1" s="16" t="s">
        <v>48</v>
      </c>
    </row>
    <row r="2" spans="1:19" x14ac:dyDescent="0.3">
      <c r="A2" s="2">
        <v>0.47461267833281184</v>
      </c>
      <c r="B2" s="2">
        <v>0.43261352817168947</v>
      </c>
      <c r="D2" s="17">
        <v>0.55612802469253364</v>
      </c>
      <c r="E2" s="18">
        <v>0.60766655055830898</v>
      </c>
      <c r="F2" s="19">
        <v>0.59938740690695302</v>
      </c>
      <c r="G2" s="20">
        <v>0.6824459275024124</v>
      </c>
      <c r="H2" s="21">
        <v>1.8682542946461329</v>
      </c>
    </row>
    <row r="3" spans="1:19" x14ac:dyDescent="0.3">
      <c r="A3" s="2">
        <v>0.74522111847214556</v>
      </c>
      <c r="B3" s="2">
        <v>0.68255838105838473</v>
      </c>
      <c r="D3" s="17">
        <v>0.74396349177334287</v>
      </c>
      <c r="E3" s="18">
        <v>1.0713333721505425</v>
      </c>
      <c r="F3" s="19">
        <v>0.90191470755910563</v>
      </c>
      <c r="G3" s="20">
        <v>1.4230585927302053</v>
      </c>
      <c r="H3" s="21">
        <v>1.9300130841854903</v>
      </c>
      <c r="K3" s="73" t="s">
        <v>16</v>
      </c>
      <c r="L3" s="74"/>
      <c r="M3" s="74"/>
      <c r="N3" s="74"/>
      <c r="O3" s="74"/>
      <c r="P3" s="74"/>
      <c r="Q3" s="74"/>
      <c r="R3" s="74"/>
      <c r="S3" s="75"/>
    </row>
    <row r="4" spans="1:19" ht="15" thickBot="1" x14ac:dyDescent="0.35">
      <c r="A4" s="2">
        <v>0.78367626103568155</v>
      </c>
      <c r="B4" s="2">
        <v>0.81159721683488995</v>
      </c>
      <c r="D4" s="17">
        <v>0.92066568400998205</v>
      </c>
      <c r="E4" s="18">
        <v>1.0587719486650116</v>
      </c>
      <c r="F4" s="19">
        <v>1.3877319997212274</v>
      </c>
      <c r="G4" s="20">
        <v>0.88188400201239681</v>
      </c>
      <c r="H4" s="21">
        <v>1.1548148308865482</v>
      </c>
      <c r="K4" s="76"/>
      <c r="L4" s="77"/>
      <c r="M4" s="77"/>
      <c r="N4" s="77"/>
      <c r="O4" s="77"/>
      <c r="P4" s="77"/>
      <c r="Q4" s="77"/>
      <c r="R4" s="77"/>
      <c r="S4" s="78"/>
    </row>
    <row r="5" spans="1:19" x14ac:dyDescent="0.3">
      <c r="A5" s="2">
        <v>0.51424339620781434</v>
      </c>
      <c r="B5" s="2">
        <v>0.44928826598805105</v>
      </c>
      <c r="D5" s="17">
        <v>0.57079444106879562</v>
      </c>
      <c r="E5" s="18">
        <v>0.60460278234807852</v>
      </c>
      <c r="F5" s="19">
        <v>0.63635063279319115</v>
      </c>
      <c r="G5" s="20">
        <v>0.60492576181629709</v>
      </c>
      <c r="H5" s="21">
        <v>0.93139130338062159</v>
      </c>
      <c r="K5" s="79" t="s">
        <v>17</v>
      </c>
      <c r="L5" s="80"/>
      <c r="M5" s="77"/>
      <c r="N5" s="77"/>
      <c r="O5" s="77"/>
      <c r="P5" s="77"/>
      <c r="Q5" s="77"/>
      <c r="R5" s="77"/>
      <c r="S5" s="78"/>
    </row>
    <row r="6" spans="1:19" x14ac:dyDescent="0.3">
      <c r="A6" s="2">
        <v>0.92511887266091608</v>
      </c>
      <c r="B6" s="2">
        <v>0.86794130428388083</v>
      </c>
      <c r="D6" s="17">
        <v>1.0677933133108153</v>
      </c>
      <c r="E6" s="18">
        <v>1.1088373819839088</v>
      </c>
      <c r="F6" s="19">
        <v>1.5532342094618077</v>
      </c>
      <c r="G6" s="20">
        <v>1.7030145972053852</v>
      </c>
      <c r="H6" s="21">
        <v>0.99491788242844303</v>
      </c>
      <c r="K6" s="76" t="s">
        <v>18</v>
      </c>
      <c r="L6" s="77">
        <v>0.88884449360306195</v>
      </c>
      <c r="M6" s="77"/>
      <c r="N6" s="77"/>
      <c r="O6" s="77"/>
      <c r="P6" s="77"/>
      <c r="Q6" s="77"/>
      <c r="R6" s="77"/>
      <c r="S6" s="78"/>
    </row>
    <row r="7" spans="1:19" x14ac:dyDescent="0.3">
      <c r="A7" s="2">
        <v>6.2868561759879538E-2</v>
      </c>
      <c r="B7" s="2">
        <v>0.29741795189970854</v>
      </c>
      <c r="D7" s="17">
        <v>0.3574887882928437</v>
      </c>
      <c r="E7" s="18">
        <v>0.59904438317786757</v>
      </c>
      <c r="F7" s="19">
        <v>0.44621540310180829</v>
      </c>
      <c r="G7" s="20">
        <v>0.35122382502453098</v>
      </c>
      <c r="H7" s="21">
        <v>1.0778885646900069</v>
      </c>
      <c r="K7" s="76" t="s">
        <v>19</v>
      </c>
      <c r="L7" s="77">
        <v>0.79004453380848372</v>
      </c>
      <c r="M7" s="77"/>
      <c r="N7" s="77"/>
      <c r="O7" s="77"/>
      <c r="P7" s="77"/>
      <c r="Q7" s="77"/>
      <c r="R7" s="77"/>
      <c r="S7" s="78"/>
    </row>
    <row r="8" spans="1:19" x14ac:dyDescent="0.3">
      <c r="A8" s="2">
        <v>0.86055351116304912</v>
      </c>
      <c r="B8" s="2">
        <v>0.76402754131303452</v>
      </c>
      <c r="D8" s="17">
        <v>0.96432521769577284</v>
      </c>
      <c r="E8" s="18">
        <v>1.0587605256707979</v>
      </c>
      <c r="F8" s="19">
        <v>1.1788525594024577</v>
      </c>
      <c r="G8" s="20">
        <v>0.81891414677381147</v>
      </c>
      <c r="H8" s="21">
        <v>1.2931015707834987</v>
      </c>
      <c r="K8" s="76" t="s">
        <v>20</v>
      </c>
      <c r="L8" s="77">
        <v>0.78788004446630322</v>
      </c>
      <c r="M8" s="77"/>
      <c r="N8" s="77"/>
      <c r="O8" s="77"/>
      <c r="P8" s="77"/>
      <c r="Q8" s="77"/>
      <c r="R8" s="77"/>
      <c r="S8" s="78"/>
    </row>
    <row r="9" spans="1:19" x14ac:dyDescent="0.3">
      <c r="A9" s="2">
        <v>0.92491119339101657</v>
      </c>
      <c r="B9" s="2">
        <v>0.74947773739281165</v>
      </c>
      <c r="D9" s="17">
        <v>0.88063008261113418</v>
      </c>
      <c r="E9" s="18">
        <v>1.1461953147446904</v>
      </c>
      <c r="F9" s="19">
        <v>1.3280777800369243</v>
      </c>
      <c r="G9" s="20">
        <v>1.1021137885722818</v>
      </c>
      <c r="H9" s="21">
        <v>1.0230721011844606</v>
      </c>
      <c r="K9" s="76" t="s">
        <v>21</v>
      </c>
      <c r="L9" s="77">
        <v>9.9008071084068033E-2</v>
      </c>
      <c r="M9" s="77"/>
      <c r="N9" s="77"/>
      <c r="O9" s="77"/>
      <c r="P9" s="77"/>
      <c r="Q9" s="77"/>
      <c r="R9" s="77"/>
      <c r="S9" s="78"/>
    </row>
    <row r="10" spans="1:19" ht="15" thickBot="1" x14ac:dyDescent="0.35">
      <c r="A10" s="2">
        <v>0.93958976531529759</v>
      </c>
      <c r="B10" s="2">
        <v>0.7151493458843915</v>
      </c>
      <c r="D10" s="17">
        <v>0.75384384210457023</v>
      </c>
      <c r="E10" s="18">
        <v>0.95434486034759236</v>
      </c>
      <c r="F10" s="19">
        <v>0.83407024159580201</v>
      </c>
      <c r="G10" s="20">
        <v>0.77589742990746668</v>
      </c>
      <c r="H10" s="21">
        <v>1.5645699801588622</v>
      </c>
      <c r="K10" s="81" t="s">
        <v>22</v>
      </c>
      <c r="L10" s="82">
        <v>99</v>
      </c>
      <c r="M10" s="77"/>
      <c r="N10" s="77"/>
      <c r="O10" s="77"/>
      <c r="P10" s="77"/>
      <c r="Q10" s="77"/>
      <c r="R10" s="77"/>
      <c r="S10" s="78"/>
    </row>
    <row r="11" spans="1:19" x14ac:dyDescent="0.3">
      <c r="A11" s="2">
        <v>0.49099303891136425</v>
      </c>
      <c r="B11" s="2">
        <v>0.55277454957131644</v>
      </c>
      <c r="D11" s="17">
        <v>0.58072763814953032</v>
      </c>
      <c r="E11" s="18">
        <v>0.79493600609610648</v>
      </c>
      <c r="F11" s="19">
        <v>0.81692305732020587</v>
      </c>
      <c r="G11" s="20">
        <v>0.87596477190000532</v>
      </c>
      <c r="H11" s="21">
        <v>0.79170344816635896</v>
      </c>
      <c r="K11" s="76"/>
      <c r="L11" s="77"/>
      <c r="M11" s="77"/>
      <c r="N11" s="77"/>
      <c r="O11" s="77"/>
      <c r="P11" s="77"/>
      <c r="Q11" s="77"/>
      <c r="R11" s="77"/>
      <c r="S11" s="78"/>
    </row>
    <row r="12" spans="1:19" ht="15" thickBot="1" x14ac:dyDescent="0.35">
      <c r="A12" s="2">
        <v>0.55901797995103142</v>
      </c>
      <c r="B12" s="2">
        <v>0.51264586426313941</v>
      </c>
      <c r="D12" s="17">
        <v>0.60808987732542397</v>
      </c>
      <c r="E12" s="18">
        <v>0.56320519035368743</v>
      </c>
      <c r="F12" s="19">
        <v>1.0202811695369767</v>
      </c>
      <c r="G12" s="20">
        <v>0.67727098916887241</v>
      </c>
      <c r="H12" s="21">
        <v>1.7159446654033612</v>
      </c>
      <c r="K12" s="76" t="s">
        <v>23</v>
      </c>
      <c r="L12" s="77"/>
      <c r="M12" s="77"/>
      <c r="N12" s="77"/>
      <c r="O12" s="77"/>
      <c r="P12" s="77"/>
      <c r="Q12" s="77"/>
      <c r="R12" s="77"/>
      <c r="S12" s="78"/>
    </row>
    <row r="13" spans="1:19" x14ac:dyDescent="0.3">
      <c r="A13" s="2">
        <v>0.27797419771294107</v>
      </c>
      <c r="B13" s="2">
        <v>0.44443129482786581</v>
      </c>
      <c r="D13" s="17">
        <v>0.60683952909922345</v>
      </c>
      <c r="E13" s="18">
        <v>0.81379731578728931</v>
      </c>
      <c r="F13" s="19">
        <v>0.59221685132266744</v>
      </c>
      <c r="G13" s="20">
        <v>0.85258305560418546</v>
      </c>
      <c r="H13" s="21">
        <v>0.4884139795808391</v>
      </c>
      <c r="K13" s="83"/>
      <c r="L13" s="84" t="s">
        <v>28</v>
      </c>
      <c r="M13" s="84" t="s">
        <v>29</v>
      </c>
      <c r="N13" s="84" t="s">
        <v>30</v>
      </c>
      <c r="O13" s="84" t="s">
        <v>31</v>
      </c>
      <c r="P13" s="84" t="s">
        <v>32</v>
      </c>
      <c r="Q13" s="77"/>
      <c r="R13" s="77"/>
      <c r="S13" s="78"/>
    </row>
    <row r="14" spans="1:19" x14ac:dyDescent="0.3">
      <c r="A14" s="2">
        <v>0.49466554986470013</v>
      </c>
      <c r="B14" s="2">
        <v>0.53955192950192554</v>
      </c>
      <c r="D14" s="17">
        <v>0.71337180141487633</v>
      </c>
      <c r="E14" s="18">
        <v>1.0161683639490406</v>
      </c>
      <c r="F14" s="19">
        <v>1.0405258807756907</v>
      </c>
      <c r="G14" s="20">
        <v>1.4543724677958694</v>
      </c>
      <c r="H14" s="21">
        <v>1.2166608119034434</v>
      </c>
      <c r="K14" s="76" t="s">
        <v>24</v>
      </c>
      <c r="L14" s="77">
        <v>1</v>
      </c>
      <c r="M14" s="77">
        <v>3.577975149398775</v>
      </c>
      <c r="N14" s="77">
        <v>3.577975149398775</v>
      </c>
      <c r="O14" s="77">
        <v>365.00273686382127</v>
      </c>
      <c r="P14" s="77">
        <v>1.2039802780460513E-34</v>
      </c>
      <c r="Q14" s="77"/>
      <c r="R14" s="77"/>
      <c r="S14" s="78"/>
    </row>
    <row r="15" spans="1:19" x14ac:dyDescent="0.3">
      <c r="A15" s="2">
        <v>0.21873346974522323</v>
      </c>
      <c r="B15" s="2">
        <v>0.38664960613827359</v>
      </c>
      <c r="D15" s="17">
        <v>0.58853464355215312</v>
      </c>
      <c r="E15" s="18">
        <v>0.85071606617958184</v>
      </c>
      <c r="F15" s="19">
        <v>0.95608910366661992</v>
      </c>
      <c r="G15" s="20">
        <v>0.85398157474671887</v>
      </c>
      <c r="H15" s="21">
        <v>0.64515212877242434</v>
      </c>
      <c r="K15" s="76" t="s">
        <v>25</v>
      </c>
      <c r="L15" s="77">
        <v>97</v>
      </c>
      <c r="M15" s="77">
        <v>0.95085201955942322</v>
      </c>
      <c r="N15" s="77">
        <v>9.802598139787868E-3</v>
      </c>
      <c r="O15" s="77"/>
      <c r="P15" s="77"/>
      <c r="Q15" s="77"/>
      <c r="R15" s="77"/>
      <c r="S15" s="78"/>
    </row>
    <row r="16" spans="1:19" ht="15" thickBot="1" x14ac:dyDescent="0.35">
      <c r="A16" s="2">
        <v>0.4858707521743395</v>
      </c>
      <c r="B16" s="2">
        <v>0.4110178911656247</v>
      </c>
      <c r="D16" s="17">
        <v>0.54039641298714958</v>
      </c>
      <c r="E16" s="18">
        <v>0.77004483560162951</v>
      </c>
      <c r="F16" s="19">
        <v>0.82077725759892428</v>
      </c>
      <c r="G16" s="20">
        <v>0.95658237008605917</v>
      </c>
      <c r="H16" s="21">
        <v>1.4379665693310617</v>
      </c>
      <c r="K16" s="81" t="s">
        <v>26</v>
      </c>
      <c r="L16" s="82">
        <v>98</v>
      </c>
      <c r="M16" s="82">
        <v>4.5288271689581983</v>
      </c>
      <c r="N16" s="82"/>
      <c r="O16" s="82"/>
      <c r="P16" s="82"/>
      <c r="Q16" s="77"/>
      <c r="R16" s="77"/>
      <c r="S16" s="78"/>
    </row>
    <row r="17" spans="1:19" ht="15" thickBot="1" x14ac:dyDescent="0.35">
      <c r="A17" s="2">
        <v>0.67262619544158198</v>
      </c>
      <c r="B17" s="2">
        <v>0.67884863511012072</v>
      </c>
      <c r="D17" s="17">
        <v>0.75088571905180612</v>
      </c>
      <c r="E17" s="18">
        <v>1.1645910402802517</v>
      </c>
      <c r="F17" s="19">
        <v>1.2925373616451419</v>
      </c>
      <c r="G17" s="20">
        <v>1.5324566062697114</v>
      </c>
      <c r="H17" s="21">
        <v>1.6900907169575512</v>
      </c>
      <c r="K17" s="76"/>
      <c r="L17" s="77"/>
      <c r="M17" s="77"/>
      <c r="N17" s="77"/>
      <c r="O17" s="77"/>
      <c r="P17" s="77"/>
      <c r="Q17" s="77"/>
      <c r="R17" s="77"/>
      <c r="S17" s="78"/>
    </row>
    <row r="18" spans="1:19" x14ac:dyDescent="0.3">
      <c r="A18" s="2">
        <v>0.89541318735568853</v>
      </c>
      <c r="B18" s="2">
        <v>0.66622186483878487</v>
      </c>
      <c r="D18" s="17">
        <v>0.73617044592388359</v>
      </c>
      <c r="E18" s="18">
        <v>1.0259043604102676</v>
      </c>
      <c r="F18" s="19">
        <v>0.75012516324694467</v>
      </c>
      <c r="G18" s="20">
        <v>1.0887435799178595</v>
      </c>
      <c r="H18" s="21">
        <v>0.90707043262351428</v>
      </c>
      <c r="K18" s="83"/>
      <c r="L18" s="84" t="s">
        <v>33</v>
      </c>
      <c r="M18" s="84" t="s">
        <v>21</v>
      </c>
      <c r="N18" s="84" t="s">
        <v>34</v>
      </c>
      <c r="O18" s="84" t="s">
        <v>35</v>
      </c>
      <c r="P18" s="84" t="s">
        <v>36</v>
      </c>
      <c r="Q18" s="84" t="s">
        <v>37</v>
      </c>
      <c r="R18" s="84" t="s">
        <v>38</v>
      </c>
      <c r="S18" s="85" t="s">
        <v>39</v>
      </c>
    </row>
    <row r="19" spans="1:19" x14ac:dyDescent="0.3">
      <c r="A19" s="2">
        <v>0.90117399798370845</v>
      </c>
      <c r="B19" s="2">
        <v>0.65212629441323466</v>
      </c>
      <c r="D19" s="17">
        <v>0.81242902955505758</v>
      </c>
      <c r="E19" s="18">
        <v>0.97056832593787512</v>
      </c>
      <c r="F19" s="19">
        <v>0.90630105675703332</v>
      </c>
      <c r="G19" s="20">
        <v>0.87264498206312913</v>
      </c>
      <c r="H19" s="21">
        <v>0.66810787079802714</v>
      </c>
      <c r="K19" s="76" t="s">
        <v>27</v>
      </c>
      <c r="L19" s="77">
        <v>0.3306317580492466</v>
      </c>
      <c r="M19" s="77">
        <v>1.9886212463932011E-2</v>
      </c>
      <c r="N19" s="77">
        <v>16.62618050817467</v>
      </c>
      <c r="O19" s="77">
        <v>3.7801605403690702E-30</v>
      </c>
      <c r="P19" s="77">
        <v>0.29116313109008046</v>
      </c>
      <c r="Q19" s="77">
        <v>0.37010038500841275</v>
      </c>
      <c r="R19" s="77">
        <v>0.29116313109008046</v>
      </c>
      <c r="S19" s="78">
        <v>0.37010038500841275</v>
      </c>
    </row>
    <row r="20" spans="1:19" ht="15" thickBot="1" x14ac:dyDescent="0.35">
      <c r="A20" s="2">
        <v>0.57335015063459582</v>
      </c>
      <c r="B20" s="2">
        <v>0.46508836143507509</v>
      </c>
      <c r="D20" s="17">
        <v>0.60020288651843978</v>
      </c>
      <c r="E20" s="18">
        <v>0.56792300682091934</v>
      </c>
      <c r="F20" s="19">
        <v>0.53191644527486048</v>
      </c>
      <c r="G20" s="20">
        <v>0.59147240836727244</v>
      </c>
      <c r="H20" s="21">
        <v>0.59719745823682824</v>
      </c>
      <c r="K20" s="81">
        <v>0.47461267833281184</v>
      </c>
      <c r="L20" s="82">
        <v>0.6196612522882694</v>
      </c>
      <c r="M20" s="82">
        <v>3.2434430734367602E-2</v>
      </c>
      <c r="N20" s="82">
        <v>19.105044801408365</v>
      </c>
      <c r="O20" s="82">
        <v>1.2039802780461197E-34</v>
      </c>
      <c r="P20" s="82">
        <v>0.55528788558460551</v>
      </c>
      <c r="Q20" s="82">
        <v>0.6840346189919333</v>
      </c>
      <c r="R20" s="82">
        <v>0.55528788558460551</v>
      </c>
      <c r="S20" s="86">
        <v>0.6840346189919333</v>
      </c>
    </row>
    <row r="21" spans="1:19" x14ac:dyDescent="0.3">
      <c r="A21" s="2">
        <v>1.3195462911787748E-2</v>
      </c>
      <c r="B21" s="2">
        <v>0.32092922264735685</v>
      </c>
      <c r="D21" s="17">
        <v>0.49170574351050089</v>
      </c>
      <c r="E21" s="18">
        <v>0.49462596498363587</v>
      </c>
      <c r="F21" s="19">
        <v>0.6582134420275596</v>
      </c>
      <c r="G21" s="20">
        <v>1.1084443217664735</v>
      </c>
      <c r="H21" s="21">
        <v>0.93650230307809723</v>
      </c>
      <c r="K21" s="76"/>
      <c r="L21" s="77"/>
      <c r="M21" s="77"/>
      <c r="N21" s="77"/>
      <c r="O21" s="77"/>
      <c r="P21" s="77"/>
      <c r="Q21" s="77"/>
      <c r="R21" s="77"/>
      <c r="S21" s="78"/>
    </row>
    <row r="22" spans="1:19" x14ac:dyDescent="0.3">
      <c r="A22" s="2">
        <v>0.89948576606136443</v>
      </c>
      <c r="B22" s="2">
        <v>0.82071530506317469</v>
      </c>
      <c r="D22" s="17">
        <v>1.0431055238483689</v>
      </c>
      <c r="E22" s="18">
        <v>0.95427421211563135</v>
      </c>
      <c r="F22" s="19">
        <v>1.00245635873796</v>
      </c>
      <c r="G22" s="20">
        <v>1.2579868607902833</v>
      </c>
      <c r="H22" s="21">
        <v>1.4511068723555018</v>
      </c>
      <c r="K22" s="76"/>
      <c r="L22" s="77"/>
      <c r="M22" s="77"/>
      <c r="N22" s="77"/>
      <c r="O22" s="77"/>
      <c r="P22" s="77"/>
      <c r="Q22" s="77"/>
      <c r="R22" s="77"/>
      <c r="S22" s="78"/>
    </row>
    <row r="23" spans="1:19" x14ac:dyDescent="0.3">
      <c r="A23" s="2">
        <v>0.10526791435160987</v>
      </c>
      <c r="B23" s="2">
        <v>0.23724499811961441</v>
      </c>
      <c r="D23" s="17">
        <v>0.25615726598626753</v>
      </c>
      <c r="E23" s="18">
        <v>0.33386883441701565</v>
      </c>
      <c r="F23" s="19">
        <v>0.86480511395499293</v>
      </c>
      <c r="G23" s="20">
        <v>0.35499009506643842</v>
      </c>
      <c r="H23" s="21">
        <v>0.47173099015377595</v>
      </c>
      <c r="K23" s="87"/>
      <c r="L23" s="88"/>
      <c r="M23" s="88"/>
      <c r="N23" s="88"/>
      <c r="O23" s="88"/>
      <c r="P23" s="88"/>
      <c r="Q23" s="88"/>
      <c r="R23" s="88"/>
      <c r="S23" s="89"/>
    </row>
    <row r="24" spans="1:19" x14ac:dyDescent="0.3">
      <c r="A24" s="2">
        <v>0.60111915205119459</v>
      </c>
      <c r="B24" s="2">
        <v>0.57958504433401936</v>
      </c>
      <c r="D24" s="17">
        <v>0.74939085627595015</v>
      </c>
      <c r="E24" s="18">
        <v>0.84347106199679067</v>
      </c>
      <c r="F24" s="19">
        <v>0.84294657510983062</v>
      </c>
      <c r="G24" s="20">
        <v>1.239807117978692</v>
      </c>
      <c r="H24" s="21">
        <v>1.2262612670898028</v>
      </c>
    </row>
    <row r="25" spans="1:19" x14ac:dyDescent="0.3">
      <c r="A25" s="2">
        <v>0.89814676899681289</v>
      </c>
      <c r="B25" s="2">
        <v>0.74850171721692704</v>
      </c>
      <c r="D25" s="17">
        <v>0.96270668771769397</v>
      </c>
      <c r="E25" s="18">
        <v>1.1582792973024862</v>
      </c>
      <c r="F25" s="19">
        <v>0.7518083343073414</v>
      </c>
      <c r="G25" s="20">
        <v>1.204979708603352</v>
      </c>
      <c r="H25" s="21">
        <v>1.1027043921567294</v>
      </c>
      <c r="K25" s="26" t="s">
        <v>16</v>
      </c>
      <c r="L25" s="27"/>
      <c r="M25" s="27"/>
      <c r="N25" s="27"/>
      <c r="O25" s="27"/>
      <c r="P25" s="27"/>
      <c r="Q25" s="27"/>
      <c r="R25" s="27"/>
      <c r="S25" s="28"/>
    </row>
    <row r="26" spans="1:19" ht="15" thickBot="1" x14ac:dyDescent="0.35">
      <c r="A26" s="2">
        <v>0.21785024389596419</v>
      </c>
      <c r="B26" s="2">
        <v>0.3982286802703412</v>
      </c>
      <c r="D26" s="17">
        <v>0.46999510810064438</v>
      </c>
      <c r="E26" s="18">
        <v>0.58785906472705585</v>
      </c>
      <c r="F26" s="19">
        <v>0.60080554090271643</v>
      </c>
      <c r="G26" s="20">
        <v>0.91396007389511558</v>
      </c>
      <c r="H26" s="21">
        <v>0.88467629182433927</v>
      </c>
      <c r="K26" s="29"/>
      <c r="L26" s="23"/>
      <c r="M26" s="23"/>
      <c r="N26" s="23"/>
      <c r="O26" s="23"/>
      <c r="P26" s="23"/>
      <c r="Q26" s="23"/>
      <c r="R26" s="23"/>
      <c r="S26" s="30"/>
    </row>
    <row r="27" spans="1:19" x14ac:dyDescent="0.3">
      <c r="A27" s="2">
        <v>0.80412804634704094</v>
      </c>
      <c r="B27" s="2">
        <v>0.64716941986068943</v>
      </c>
      <c r="D27" s="17">
        <v>0.69680120076070873</v>
      </c>
      <c r="E27" s="18">
        <v>0.71750430395007392</v>
      </c>
      <c r="F27" s="19">
        <v>1.0928463737808836</v>
      </c>
      <c r="G27" s="20">
        <v>1.292561701799221</v>
      </c>
      <c r="H27" s="21">
        <v>1.6563403379312187</v>
      </c>
      <c r="K27" s="31" t="s">
        <v>17</v>
      </c>
      <c r="L27" s="22"/>
      <c r="M27" s="23"/>
      <c r="N27" s="23"/>
      <c r="O27" s="23"/>
      <c r="P27" s="23"/>
      <c r="Q27" s="23"/>
      <c r="R27" s="23"/>
      <c r="S27" s="30"/>
    </row>
    <row r="28" spans="1:19" x14ac:dyDescent="0.3">
      <c r="A28" s="2">
        <v>5.2182628990731006E-2</v>
      </c>
      <c r="B28" s="2">
        <v>0.31236087166255921</v>
      </c>
      <c r="D28" s="17">
        <v>0.48378597969553316</v>
      </c>
      <c r="E28" s="18">
        <v>0.61232424569200872</v>
      </c>
      <c r="F28" s="19">
        <v>0.61397967198291803</v>
      </c>
      <c r="G28" s="20">
        <v>0.36617405458499186</v>
      </c>
      <c r="H28" s="21">
        <v>0.67012635564780321</v>
      </c>
      <c r="K28" s="29" t="s">
        <v>18</v>
      </c>
      <c r="L28" s="23">
        <v>0.75392554300147452</v>
      </c>
      <c r="M28" s="23"/>
      <c r="N28" s="23"/>
      <c r="O28" s="23"/>
      <c r="P28" s="23"/>
      <c r="Q28" s="23"/>
      <c r="R28" s="23"/>
      <c r="S28" s="30"/>
    </row>
    <row r="29" spans="1:19" x14ac:dyDescent="0.3">
      <c r="A29" s="2">
        <v>0.34701188639554448</v>
      </c>
      <c r="B29" s="2">
        <v>0.44397234580704692</v>
      </c>
      <c r="D29" s="17">
        <v>0.60228484907684066</v>
      </c>
      <c r="E29" s="18">
        <v>0.66262093730428906</v>
      </c>
      <c r="F29" s="19">
        <v>0.7884317944838003</v>
      </c>
      <c r="G29" s="20">
        <v>1.3881975804463997</v>
      </c>
      <c r="H29" s="21">
        <v>1.3906792200710107</v>
      </c>
      <c r="K29" s="29" t="s">
        <v>19</v>
      </c>
      <c r="L29" s="23">
        <v>0.56840372439006825</v>
      </c>
      <c r="M29" s="23"/>
      <c r="N29" s="23"/>
      <c r="O29" s="23"/>
      <c r="P29" s="23"/>
      <c r="Q29" s="23"/>
      <c r="R29" s="23"/>
      <c r="S29" s="30"/>
    </row>
    <row r="30" spans="1:19" x14ac:dyDescent="0.3">
      <c r="A30" s="2">
        <v>0.30319294777500083</v>
      </c>
      <c r="B30" s="2">
        <v>0.40420326051101885</v>
      </c>
      <c r="D30" s="17">
        <v>0.49421798449246723</v>
      </c>
      <c r="E30" s="18">
        <v>0.77536951162475187</v>
      </c>
      <c r="F30" s="19">
        <v>0.72360982536178353</v>
      </c>
      <c r="G30" s="20">
        <v>1.1234945061889507</v>
      </c>
      <c r="H30" s="21">
        <v>0.50706116756535646</v>
      </c>
      <c r="K30" s="29" t="s">
        <v>20</v>
      </c>
      <c r="L30" s="23">
        <v>0.56395427824975963</v>
      </c>
      <c r="M30" s="23"/>
      <c r="N30" s="23"/>
      <c r="O30" s="23"/>
      <c r="P30" s="23"/>
      <c r="Q30" s="23"/>
      <c r="R30" s="23"/>
      <c r="S30" s="30"/>
    </row>
    <row r="31" spans="1:19" x14ac:dyDescent="0.3">
      <c r="A31" s="2">
        <v>0.12077732837950161</v>
      </c>
      <c r="B31" s="2">
        <v>0.34675238240852235</v>
      </c>
      <c r="D31" s="17">
        <v>0.49247778611006032</v>
      </c>
      <c r="E31" s="18">
        <v>0.35422080088183799</v>
      </c>
      <c r="F31" s="19">
        <v>0.71596470727533923</v>
      </c>
      <c r="G31" s="20">
        <v>0.40332988556592908</v>
      </c>
      <c r="H31" s="21">
        <v>0.74762556528660395</v>
      </c>
      <c r="K31" s="29" t="s">
        <v>21</v>
      </c>
      <c r="L31" s="23">
        <v>0.1700016357920639</v>
      </c>
      <c r="M31" s="23"/>
      <c r="N31" s="23"/>
      <c r="O31" s="23"/>
      <c r="P31" s="23"/>
      <c r="Q31" s="23"/>
      <c r="R31" s="23"/>
      <c r="S31" s="30"/>
    </row>
    <row r="32" spans="1:19" ht="15" thickBot="1" x14ac:dyDescent="0.35">
      <c r="A32" s="2">
        <v>0.68691773830175284</v>
      </c>
      <c r="B32" s="2">
        <v>0.53618150477829141</v>
      </c>
      <c r="D32" s="17">
        <v>0.57987181323266657</v>
      </c>
      <c r="E32" s="18">
        <v>0.72780800167516213</v>
      </c>
      <c r="F32" s="19">
        <v>0.57630076647885131</v>
      </c>
      <c r="G32" s="20">
        <v>1.4417293001582481</v>
      </c>
      <c r="H32" s="21">
        <v>1.7521310940358636</v>
      </c>
      <c r="K32" s="32" t="s">
        <v>22</v>
      </c>
      <c r="L32" s="24">
        <v>99</v>
      </c>
      <c r="M32" s="23"/>
      <c r="N32" s="23"/>
      <c r="O32" s="23"/>
      <c r="P32" s="23"/>
      <c r="Q32" s="23"/>
      <c r="R32" s="23"/>
      <c r="S32" s="30"/>
    </row>
    <row r="33" spans="1:19" x14ac:dyDescent="0.3">
      <c r="A33" s="2">
        <v>0.90557687916141583</v>
      </c>
      <c r="B33" s="2">
        <v>0.64908190852237502</v>
      </c>
      <c r="D33" s="17">
        <v>0.72864157792258522</v>
      </c>
      <c r="E33" s="18">
        <v>0.85499042343410525</v>
      </c>
      <c r="F33" s="19">
        <v>0.75986771715808565</v>
      </c>
      <c r="G33" s="20">
        <v>1.2861316995604473</v>
      </c>
      <c r="H33" s="21">
        <v>1.3427187576259281</v>
      </c>
      <c r="K33" s="29"/>
      <c r="L33" s="23"/>
      <c r="M33" s="23"/>
      <c r="N33" s="23"/>
      <c r="O33" s="23"/>
      <c r="P33" s="23"/>
      <c r="Q33" s="23"/>
      <c r="R33" s="23"/>
      <c r="S33" s="30"/>
    </row>
    <row r="34" spans="1:19" ht="15" thickBot="1" x14ac:dyDescent="0.35">
      <c r="A34" s="2">
        <v>0.3608840837588716</v>
      </c>
      <c r="B34" s="2">
        <v>0.37524509358982872</v>
      </c>
      <c r="D34" s="17">
        <v>0.48041569800795891</v>
      </c>
      <c r="E34" s="18">
        <v>0.85683220891430933</v>
      </c>
      <c r="F34" s="19">
        <v>0.87286060198901216</v>
      </c>
      <c r="G34" s="20">
        <v>0.93317976372045319</v>
      </c>
      <c r="H34" s="21">
        <v>1.4413321606130989</v>
      </c>
      <c r="K34" s="29" t="s">
        <v>23</v>
      </c>
      <c r="L34" s="23"/>
      <c r="M34" s="23"/>
      <c r="N34" s="23"/>
      <c r="O34" s="23"/>
      <c r="P34" s="23"/>
      <c r="Q34" s="23"/>
      <c r="R34" s="23"/>
      <c r="S34" s="30"/>
    </row>
    <row r="35" spans="1:19" x14ac:dyDescent="0.3">
      <c r="A35" s="2">
        <v>0.26058154953358714</v>
      </c>
      <c r="B35" s="2">
        <v>0.43375769225290267</v>
      </c>
      <c r="D35" s="17">
        <v>0.67033332404627433</v>
      </c>
      <c r="E35" s="18">
        <v>0.78806282827953988</v>
      </c>
      <c r="F35" s="19">
        <v>0.45111350229557012</v>
      </c>
      <c r="G35" s="20">
        <v>0.51502125961528544</v>
      </c>
      <c r="H35" s="21">
        <v>1.5731198035391458</v>
      </c>
      <c r="K35" s="33"/>
      <c r="L35" s="25" t="s">
        <v>28</v>
      </c>
      <c r="M35" s="25" t="s">
        <v>29</v>
      </c>
      <c r="N35" s="25" t="s">
        <v>30</v>
      </c>
      <c r="O35" s="25" t="s">
        <v>31</v>
      </c>
      <c r="P35" s="25" t="s">
        <v>32</v>
      </c>
      <c r="Q35" s="23"/>
      <c r="R35" s="23"/>
      <c r="S35" s="30"/>
    </row>
    <row r="36" spans="1:19" x14ac:dyDescent="0.3">
      <c r="A36" s="2">
        <v>0.62960827766149974</v>
      </c>
      <c r="B36" s="2">
        <v>0.49173214662897324</v>
      </c>
      <c r="D36" s="17">
        <v>0.7147024784981364</v>
      </c>
      <c r="E36" s="18">
        <v>0.51794888084129187</v>
      </c>
      <c r="F36" s="19">
        <v>0.67183580594828785</v>
      </c>
      <c r="G36" s="20">
        <v>0.93160586409012192</v>
      </c>
      <c r="H36" s="21">
        <v>0.53888657959129094</v>
      </c>
      <c r="K36" s="29" t="s">
        <v>24</v>
      </c>
      <c r="L36" s="23">
        <v>1</v>
      </c>
      <c r="M36" s="23">
        <v>3.6919614817400985</v>
      </c>
      <c r="N36" s="23">
        <v>3.6919614817400985</v>
      </c>
      <c r="O36" s="23">
        <v>127.74707378537876</v>
      </c>
      <c r="P36" s="23">
        <v>2.1286466018003231E-19</v>
      </c>
      <c r="Q36" s="23"/>
      <c r="R36" s="23"/>
      <c r="S36" s="30"/>
    </row>
    <row r="37" spans="1:19" x14ac:dyDescent="0.3">
      <c r="A37" s="2">
        <v>0.83698648622291949</v>
      </c>
      <c r="B37" s="2">
        <v>0.84620067172306823</v>
      </c>
      <c r="D37" s="17">
        <v>1.0857036835063831</v>
      </c>
      <c r="E37" s="18">
        <v>1.2622187172717951</v>
      </c>
      <c r="F37" s="19">
        <v>1.5267814925731713</v>
      </c>
      <c r="G37" s="20">
        <v>1.7131190824344702</v>
      </c>
      <c r="H37" s="21">
        <v>1.2846765727106284</v>
      </c>
      <c r="K37" s="29" t="s">
        <v>25</v>
      </c>
      <c r="L37" s="23">
        <v>97</v>
      </c>
      <c r="M37" s="23">
        <v>2.8033539486818215</v>
      </c>
      <c r="N37" s="23">
        <v>2.8900556171977541E-2</v>
      </c>
      <c r="O37" s="23"/>
      <c r="P37" s="23"/>
      <c r="Q37" s="23"/>
      <c r="R37" s="23"/>
      <c r="S37" s="30"/>
    </row>
    <row r="38" spans="1:19" ht="15" thickBot="1" x14ac:dyDescent="0.35">
      <c r="A38" s="2">
        <v>0.96827460859766834</v>
      </c>
      <c r="B38" s="2">
        <v>0.73627973022094784</v>
      </c>
      <c r="D38" s="17">
        <v>0.9140427641932487</v>
      </c>
      <c r="E38" s="18">
        <v>0.87440623893821012</v>
      </c>
      <c r="F38" s="19">
        <v>1.051347393390341</v>
      </c>
      <c r="G38" s="20">
        <v>1.6464694192075595</v>
      </c>
      <c r="H38" s="21">
        <v>1.5106668580060041</v>
      </c>
      <c r="K38" s="32" t="s">
        <v>26</v>
      </c>
      <c r="L38" s="24">
        <v>98</v>
      </c>
      <c r="M38" s="24">
        <v>6.4953154304219201</v>
      </c>
      <c r="N38" s="24"/>
      <c r="O38" s="24"/>
      <c r="P38" s="24"/>
      <c r="Q38" s="23"/>
      <c r="R38" s="23"/>
      <c r="S38" s="30"/>
    </row>
    <row r="39" spans="1:19" ht="15" thickBot="1" x14ac:dyDescent="0.35">
      <c r="A39" s="2">
        <v>0.66549198827793632</v>
      </c>
      <c r="B39" s="2">
        <v>0.72127953292732239</v>
      </c>
      <c r="D39" s="17">
        <v>0.89467010575082628</v>
      </c>
      <c r="E39" s="18">
        <v>0.73052557471201118</v>
      </c>
      <c r="F39" s="19">
        <v>1.0327342714704595</v>
      </c>
      <c r="G39" s="20">
        <v>1.085774842719466</v>
      </c>
      <c r="H39" s="21">
        <v>1.9213821967193629</v>
      </c>
      <c r="K39" s="29"/>
      <c r="L39" s="23"/>
      <c r="M39" s="23"/>
      <c r="N39" s="23"/>
      <c r="O39" s="23"/>
      <c r="P39" s="23"/>
      <c r="Q39" s="23"/>
      <c r="R39" s="23"/>
      <c r="S39" s="30"/>
    </row>
    <row r="40" spans="1:19" x14ac:dyDescent="0.3">
      <c r="A40" s="2">
        <v>0.97703718225851299</v>
      </c>
      <c r="B40" s="2">
        <v>0.88956105778770467</v>
      </c>
      <c r="D40" s="17">
        <v>0.99932727103261998</v>
      </c>
      <c r="E40" s="18">
        <v>0.96244199628403471</v>
      </c>
      <c r="F40" s="19">
        <v>1.3165666870591382</v>
      </c>
      <c r="G40" s="20">
        <v>1.3598961053265564</v>
      </c>
      <c r="H40" s="21">
        <v>2.2691097336010433</v>
      </c>
      <c r="K40" s="33"/>
      <c r="L40" s="25" t="s">
        <v>33</v>
      </c>
      <c r="M40" s="25" t="s">
        <v>21</v>
      </c>
      <c r="N40" s="25" t="s">
        <v>34</v>
      </c>
      <c r="O40" s="25" t="s">
        <v>35</v>
      </c>
      <c r="P40" s="25" t="s">
        <v>36</v>
      </c>
      <c r="Q40" s="25" t="s">
        <v>37</v>
      </c>
      <c r="R40" s="25" t="s">
        <v>38</v>
      </c>
      <c r="S40" s="34" t="s">
        <v>39</v>
      </c>
    </row>
    <row r="41" spans="1:19" x14ac:dyDescent="0.3">
      <c r="A41" s="2">
        <v>0.41721564724490812</v>
      </c>
      <c r="B41" s="2">
        <v>0.43070938875103626</v>
      </c>
      <c r="D41" s="17">
        <v>0.67529562938990595</v>
      </c>
      <c r="E41" s="18">
        <v>0.92004517685943954</v>
      </c>
      <c r="F41" s="19">
        <v>1.1235835881507503</v>
      </c>
      <c r="G41" s="20">
        <v>0.71146454517328495</v>
      </c>
      <c r="H41" s="21">
        <v>1.4520476205361843</v>
      </c>
      <c r="K41" s="29" t="s">
        <v>27</v>
      </c>
      <c r="L41" s="23">
        <v>0.45381941386259805</v>
      </c>
      <c r="M41" s="23">
        <v>3.4145586431094277E-2</v>
      </c>
      <c r="N41" s="23">
        <v>13.290719571573465</v>
      </c>
      <c r="O41" s="23">
        <v>1.4291329637907478E-23</v>
      </c>
      <c r="P41" s="23">
        <v>0.38604987677276076</v>
      </c>
      <c r="Q41" s="23">
        <v>0.52158895095243529</v>
      </c>
      <c r="R41" s="23">
        <v>0.38604987677276076</v>
      </c>
      <c r="S41" s="30">
        <v>0.52158895095243529</v>
      </c>
    </row>
    <row r="42" spans="1:19" ht="15" thickBot="1" x14ac:dyDescent="0.35">
      <c r="A42" s="2">
        <v>1.0299258527148969E-2</v>
      </c>
      <c r="B42" s="2">
        <v>0.11219625656864281</v>
      </c>
      <c r="D42" s="17">
        <v>0.33655479313162329</v>
      </c>
      <c r="E42" s="18">
        <v>0.44800979522061063</v>
      </c>
      <c r="F42" s="19">
        <v>0.83786166750364244</v>
      </c>
      <c r="G42" s="20">
        <v>0.86109012761791148</v>
      </c>
      <c r="H42" s="21">
        <v>1.0239352860678328</v>
      </c>
      <c r="K42" s="32">
        <v>0.47461267833281184</v>
      </c>
      <c r="L42" s="24">
        <v>0.62945438177036883</v>
      </c>
      <c r="M42" s="24">
        <v>5.5691482729170745E-2</v>
      </c>
      <c r="N42" s="24">
        <v>11.302525106602445</v>
      </c>
      <c r="O42" s="24">
        <v>2.1286466018003835E-19</v>
      </c>
      <c r="P42" s="24">
        <v>0.5189222047342863</v>
      </c>
      <c r="Q42" s="24">
        <v>0.73998655880645137</v>
      </c>
      <c r="R42" s="24">
        <v>0.5189222047342863</v>
      </c>
      <c r="S42" s="35">
        <v>0.73998655880645137</v>
      </c>
    </row>
    <row r="43" spans="1:19" x14ac:dyDescent="0.3">
      <c r="A43" s="2">
        <v>7.8790750021327072E-2</v>
      </c>
      <c r="B43" s="2">
        <v>0.1862403115338091</v>
      </c>
      <c r="D43" s="17">
        <v>0.3218281323225789</v>
      </c>
      <c r="E43" s="18">
        <v>0.33055658774935764</v>
      </c>
      <c r="F43" s="19">
        <v>0.87573309863493876</v>
      </c>
      <c r="G43" s="20">
        <v>0.41174112555259129</v>
      </c>
      <c r="H43" s="21">
        <v>1.2158620273514715</v>
      </c>
      <c r="K43" s="29"/>
      <c r="L43" s="23"/>
      <c r="M43" s="23"/>
      <c r="N43" s="23"/>
      <c r="O43" s="23"/>
      <c r="P43" s="23"/>
      <c r="Q43" s="23"/>
      <c r="R43" s="23"/>
      <c r="S43" s="30"/>
    </row>
    <row r="44" spans="1:19" x14ac:dyDescent="0.3">
      <c r="A44" s="2">
        <v>0.94522302338630648</v>
      </c>
      <c r="B44" s="2">
        <v>0.91147759087987901</v>
      </c>
      <c r="D44" s="17">
        <v>0.95386857479005482</v>
      </c>
      <c r="E44" s="18">
        <v>1.2592667356624521</v>
      </c>
      <c r="F44" s="19">
        <v>0.95293162624667194</v>
      </c>
      <c r="G44" s="20">
        <v>1.8671953682521842</v>
      </c>
      <c r="H44" s="21">
        <v>1.2778900974746645</v>
      </c>
      <c r="K44" s="29"/>
      <c r="L44" s="23"/>
      <c r="M44" s="23"/>
      <c r="N44" s="23"/>
      <c r="O44" s="23"/>
      <c r="P44" s="23"/>
      <c r="Q44" s="23"/>
      <c r="R44" s="23"/>
      <c r="S44" s="30"/>
    </row>
    <row r="45" spans="1:19" x14ac:dyDescent="0.3">
      <c r="A45" s="2">
        <v>0.91056158328068904</v>
      </c>
      <c r="B45" s="2">
        <v>0.6891019966363584</v>
      </c>
      <c r="D45" s="17">
        <v>0.91810261280778593</v>
      </c>
      <c r="E45" s="18">
        <v>1.0741597083732648</v>
      </c>
      <c r="F45" s="19">
        <v>1.2147575483256512</v>
      </c>
      <c r="G45" s="20">
        <v>1.635896988320352</v>
      </c>
      <c r="H45" s="21">
        <v>1.3884962018172917</v>
      </c>
      <c r="K45" s="36"/>
      <c r="L45" s="37"/>
      <c r="M45" s="37"/>
      <c r="N45" s="37"/>
      <c r="O45" s="37"/>
      <c r="P45" s="37"/>
      <c r="Q45" s="37"/>
      <c r="R45" s="37"/>
      <c r="S45" s="38"/>
    </row>
    <row r="46" spans="1:19" x14ac:dyDescent="0.3">
      <c r="A46" s="2">
        <v>9.4138000062018667E-2</v>
      </c>
      <c r="B46" s="2">
        <v>0.2997489928842863</v>
      </c>
      <c r="D46" s="17">
        <v>0.531654987074622</v>
      </c>
      <c r="E46" s="18">
        <v>0.7644447972510513</v>
      </c>
      <c r="F46" s="19">
        <v>1.0026975486789644</v>
      </c>
      <c r="G46" s="20">
        <v>0.97246948779583886</v>
      </c>
      <c r="H46" s="21">
        <v>0.47689099677206276</v>
      </c>
    </row>
    <row r="47" spans="1:19" x14ac:dyDescent="0.3">
      <c r="A47" s="2">
        <v>0.72863515901828346</v>
      </c>
      <c r="B47" s="2">
        <v>0.59429426000280672</v>
      </c>
      <c r="D47" s="17">
        <v>0.6858187063548643</v>
      </c>
      <c r="E47" s="18">
        <v>1.0647076047168573</v>
      </c>
      <c r="F47" s="19">
        <v>1.0062336795892102</v>
      </c>
      <c r="G47" s="20">
        <v>1.5315806332573185</v>
      </c>
      <c r="H47" s="21">
        <v>1.1933876900619218</v>
      </c>
      <c r="K47" s="43" t="s">
        <v>16</v>
      </c>
      <c r="L47" s="44"/>
      <c r="M47" s="44"/>
      <c r="N47" s="44"/>
      <c r="O47" s="44"/>
      <c r="P47" s="44"/>
      <c r="Q47" s="44"/>
      <c r="R47" s="44"/>
      <c r="S47" s="45"/>
    </row>
    <row r="48" spans="1:19" ht="15" thickBot="1" x14ac:dyDescent="0.35">
      <c r="A48" s="2">
        <v>0.19138347066899153</v>
      </c>
      <c r="B48" s="2">
        <v>0.3083837318453353</v>
      </c>
      <c r="D48" s="17">
        <v>0.3918519409985497</v>
      </c>
      <c r="E48" s="18">
        <v>0.77506223012030739</v>
      </c>
      <c r="F48" s="19">
        <v>0.81236735763185153</v>
      </c>
      <c r="G48" s="20">
        <v>0.87490072127132956</v>
      </c>
      <c r="H48" s="21">
        <v>1.2517874621424336</v>
      </c>
      <c r="K48" s="46"/>
      <c r="L48" s="40"/>
      <c r="M48" s="40"/>
      <c r="N48" s="40"/>
      <c r="O48" s="40"/>
      <c r="P48" s="40"/>
      <c r="Q48" s="40"/>
      <c r="R48" s="40"/>
      <c r="S48" s="47"/>
    </row>
    <row r="49" spans="1:19" x14ac:dyDescent="0.3">
      <c r="A49" s="2">
        <v>0.56492570581543267</v>
      </c>
      <c r="B49" s="2">
        <v>0.49220889984896032</v>
      </c>
      <c r="D49" s="17">
        <v>0.54719006921243918</v>
      </c>
      <c r="E49" s="18">
        <v>0.57191609733651738</v>
      </c>
      <c r="F49" s="19">
        <v>0.7907484418218973</v>
      </c>
      <c r="G49" s="20">
        <v>1.4714342576168511</v>
      </c>
      <c r="H49" s="21">
        <v>1.2148239898779769</v>
      </c>
      <c r="K49" s="48" t="s">
        <v>17</v>
      </c>
      <c r="L49" s="39"/>
      <c r="M49" s="40"/>
      <c r="N49" s="40"/>
      <c r="O49" s="40"/>
      <c r="P49" s="40"/>
      <c r="Q49" s="40"/>
      <c r="R49" s="40"/>
      <c r="S49" s="47"/>
    </row>
    <row r="50" spans="1:19" x14ac:dyDescent="0.3">
      <c r="A50" s="2">
        <v>0.33617368343396137</v>
      </c>
      <c r="B50" s="2">
        <v>0.33652183987236295</v>
      </c>
      <c r="D50" s="17">
        <v>0.42760841965977359</v>
      </c>
      <c r="E50" s="18">
        <v>0.45557811577473156</v>
      </c>
      <c r="F50" s="19">
        <v>0.60393741857288596</v>
      </c>
      <c r="G50" s="20">
        <v>1.1909561217411326</v>
      </c>
      <c r="H50" s="21">
        <v>1.5273556358656104</v>
      </c>
      <c r="K50" s="46" t="s">
        <v>18</v>
      </c>
      <c r="L50" s="40">
        <v>0.56320523850870685</v>
      </c>
      <c r="M50" s="40"/>
      <c r="N50" s="40"/>
      <c r="O50" s="40"/>
      <c r="P50" s="40"/>
      <c r="Q50" s="40"/>
      <c r="R50" s="40"/>
      <c r="S50" s="47"/>
    </row>
    <row r="51" spans="1:19" x14ac:dyDescent="0.3">
      <c r="A51" s="2">
        <v>0.76273205512628295</v>
      </c>
      <c r="B51" s="2">
        <v>0.70275148391952413</v>
      </c>
      <c r="D51" s="17">
        <v>0.77685470074518848</v>
      </c>
      <c r="E51" s="18">
        <v>1.1115412965966993</v>
      </c>
      <c r="F51" s="19">
        <v>1.2214282362555995</v>
      </c>
      <c r="G51" s="20">
        <v>1.2090062921394769</v>
      </c>
      <c r="H51" s="21">
        <v>2.0966409448814973</v>
      </c>
      <c r="K51" s="46" t="s">
        <v>19</v>
      </c>
      <c r="L51" s="40">
        <v>0.31720014068364938</v>
      </c>
      <c r="M51" s="40"/>
      <c r="N51" s="40"/>
      <c r="O51" s="40"/>
      <c r="P51" s="40"/>
      <c r="Q51" s="40"/>
      <c r="R51" s="40"/>
      <c r="S51" s="47"/>
    </row>
    <row r="52" spans="1:19" x14ac:dyDescent="0.3">
      <c r="A52" s="2">
        <v>0.50816971447729409</v>
      </c>
      <c r="B52" s="2">
        <v>0.49590623521970506</v>
      </c>
      <c r="D52" s="17">
        <v>0.62906336663903861</v>
      </c>
      <c r="E52" s="18">
        <v>0.86126954502836717</v>
      </c>
      <c r="F52" s="19">
        <v>0.50586008698273888</v>
      </c>
      <c r="G52" s="20">
        <v>0.86993637897859721</v>
      </c>
      <c r="H52" s="21">
        <v>1.9285426431411385</v>
      </c>
      <c r="K52" s="46" t="s">
        <v>20</v>
      </c>
      <c r="L52" s="40">
        <v>0.31016096687626432</v>
      </c>
      <c r="M52" s="40"/>
      <c r="N52" s="40"/>
      <c r="O52" s="40"/>
      <c r="P52" s="40"/>
      <c r="Q52" s="40"/>
      <c r="R52" s="40"/>
      <c r="S52" s="47"/>
    </row>
    <row r="53" spans="1:19" x14ac:dyDescent="0.3">
      <c r="A53" s="2">
        <v>5.3946604725891412E-2</v>
      </c>
      <c r="B53" s="2">
        <v>0.25205953656697822</v>
      </c>
      <c r="D53" s="17">
        <v>0.42588239534872518</v>
      </c>
      <c r="E53" s="18">
        <v>0.56640644480175961</v>
      </c>
      <c r="F53" s="19">
        <v>0.84582742970087943</v>
      </c>
      <c r="G53" s="20">
        <v>0.68529828917942415</v>
      </c>
      <c r="H53" s="21">
        <v>1.1022684808614536</v>
      </c>
      <c r="K53" s="46" t="s">
        <v>21</v>
      </c>
      <c r="L53" s="40">
        <v>0.23875928045271597</v>
      </c>
      <c r="M53" s="40"/>
      <c r="N53" s="40"/>
      <c r="O53" s="40"/>
      <c r="P53" s="40"/>
      <c r="Q53" s="40"/>
      <c r="R53" s="40"/>
      <c r="S53" s="47"/>
    </row>
    <row r="54" spans="1:19" ht="15" thickBot="1" x14ac:dyDescent="0.35">
      <c r="A54" s="2">
        <v>0.85503758843977617</v>
      </c>
      <c r="B54" s="2">
        <v>0.78195236816211977</v>
      </c>
      <c r="D54" s="17">
        <v>0.92867802689905543</v>
      </c>
      <c r="E54" s="18">
        <v>1.2446136744791612</v>
      </c>
      <c r="F54" s="19">
        <v>1.3347431660106328</v>
      </c>
      <c r="G54" s="20">
        <v>1.0285165794349169</v>
      </c>
      <c r="H54" s="21">
        <v>0.94837283863501942</v>
      </c>
      <c r="K54" s="49" t="s">
        <v>22</v>
      </c>
      <c r="L54" s="41">
        <v>99</v>
      </c>
      <c r="M54" s="40"/>
      <c r="N54" s="40"/>
      <c r="O54" s="40"/>
      <c r="P54" s="40"/>
      <c r="Q54" s="40"/>
      <c r="R54" s="40"/>
      <c r="S54" s="47"/>
    </row>
    <row r="55" spans="1:19" x14ac:dyDescent="0.3">
      <c r="A55" s="2">
        <v>0.29340007608860508</v>
      </c>
      <c r="B55" s="2">
        <v>0.36349865139940168</v>
      </c>
      <c r="D55" s="17">
        <v>0.45102989913498803</v>
      </c>
      <c r="E55" s="18">
        <v>0.50306098520582454</v>
      </c>
      <c r="F55" s="19">
        <v>0.7490993377858548</v>
      </c>
      <c r="G55" s="20">
        <v>1.2246491785117009</v>
      </c>
      <c r="H55" s="21">
        <v>0.65993453349702613</v>
      </c>
      <c r="K55" s="46"/>
      <c r="L55" s="40"/>
      <c r="M55" s="40"/>
      <c r="N55" s="40"/>
      <c r="O55" s="40"/>
      <c r="P55" s="40"/>
      <c r="Q55" s="40"/>
      <c r="R55" s="40"/>
      <c r="S55" s="47"/>
    </row>
    <row r="56" spans="1:19" ht="15" thickBot="1" x14ac:dyDescent="0.35">
      <c r="A56" s="2">
        <v>0.35411189627530182</v>
      </c>
      <c r="B56" s="2">
        <v>0.45946671617606971</v>
      </c>
      <c r="D56" s="17">
        <v>0.6893547968243976</v>
      </c>
      <c r="E56" s="18">
        <v>0.68607396103981189</v>
      </c>
      <c r="F56" s="19">
        <v>0.79605869387240136</v>
      </c>
      <c r="G56" s="20">
        <v>1.1005178528870183</v>
      </c>
      <c r="H56" s="21">
        <v>1.4059298172106613</v>
      </c>
      <c r="K56" s="46" t="s">
        <v>23</v>
      </c>
      <c r="L56" s="40"/>
      <c r="M56" s="40"/>
      <c r="N56" s="40"/>
      <c r="O56" s="40"/>
      <c r="P56" s="40"/>
      <c r="Q56" s="40"/>
      <c r="R56" s="40"/>
      <c r="S56" s="47"/>
    </row>
    <row r="57" spans="1:19" x14ac:dyDescent="0.3">
      <c r="A57" s="2">
        <v>0.28524098853692414</v>
      </c>
      <c r="B57" s="2">
        <v>0.41370848157554141</v>
      </c>
      <c r="D57" s="17">
        <v>0.52257694029634094</v>
      </c>
      <c r="E57" s="18">
        <v>0.5692605422680026</v>
      </c>
      <c r="F57" s="19">
        <v>0.74092414948717056</v>
      </c>
      <c r="G57" s="20">
        <v>1.4038859926031733</v>
      </c>
      <c r="H57" s="21">
        <v>0.61097996013862965</v>
      </c>
      <c r="K57" s="50"/>
      <c r="L57" s="42" t="s">
        <v>28</v>
      </c>
      <c r="M57" s="42" t="s">
        <v>29</v>
      </c>
      <c r="N57" s="42" t="s">
        <v>30</v>
      </c>
      <c r="O57" s="42" t="s">
        <v>31</v>
      </c>
      <c r="P57" s="42" t="s">
        <v>32</v>
      </c>
      <c r="Q57" s="40"/>
      <c r="R57" s="40"/>
      <c r="S57" s="47"/>
    </row>
    <row r="58" spans="1:19" x14ac:dyDescent="0.3">
      <c r="A58" s="2">
        <v>0.14880532665274115</v>
      </c>
      <c r="B58" s="2">
        <v>0.36970110393761968</v>
      </c>
      <c r="D58" s="17">
        <v>0.4786368720760944</v>
      </c>
      <c r="E58" s="18">
        <v>0.84412277076168496</v>
      </c>
      <c r="F58" s="19">
        <v>0.96236551412704741</v>
      </c>
      <c r="G58" s="20">
        <v>1.2913052502464608</v>
      </c>
      <c r="H58" s="21">
        <v>0.46928788354378786</v>
      </c>
      <c r="K58" s="46" t="s">
        <v>24</v>
      </c>
      <c r="L58" s="40">
        <v>1</v>
      </c>
      <c r="M58" s="40">
        <v>2.5688113139598281</v>
      </c>
      <c r="N58" s="40">
        <v>2.5688113139598281</v>
      </c>
      <c r="O58" s="40">
        <v>45.06212651701582</v>
      </c>
      <c r="P58" s="40">
        <v>1.2912557687643581E-9</v>
      </c>
      <c r="Q58" s="40"/>
      <c r="R58" s="40"/>
      <c r="S58" s="47"/>
    </row>
    <row r="59" spans="1:19" x14ac:dyDescent="0.3">
      <c r="A59" s="2">
        <v>0.59314132654639506</v>
      </c>
      <c r="B59" s="2">
        <v>0.55197844751117675</v>
      </c>
      <c r="D59" s="17">
        <v>0.62441184290714769</v>
      </c>
      <c r="E59" s="18">
        <v>0.88472137805715767</v>
      </c>
      <c r="F59" s="19">
        <v>0.7161384615861135</v>
      </c>
      <c r="G59" s="20">
        <v>1.5504569475907939</v>
      </c>
      <c r="H59" s="21">
        <v>1.6758231222098612</v>
      </c>
      <c r="K59" s="46" t="s">
        <v>25</v>
      </c>
      <c r="L59" s="40">
        <v>97</v>
      </c>
      <c r="M59" s="40">
        <v>5.5295814182229721</v>
      </c>
      <c r="N59" s="40">
        <v>5.7005994002298679E-2</v>
      </c>
      <c r="O59" s="40"/>
      <c r="P59" s="40"/>
      <c r="Q59" s="40"/>
      <c r="R59" s="40"/>
      <c r="S59" s="47"/>
    </row>
    <row r="60" spans="1:19" ht="15" thickBot="1" x14ac:dyDescent="0.35">
      <c r="A60" s="2">
        <v>0.82249087867443393</v>
      </c>
      <c r="B60" s="2">
        <v>0.75865373301830485</v>
      </c>
      <c r="D60" s="17">
        <v>0.85686200581029692</v>
      </c>
      <c r="E60" s="18">
        <v>0.98608333967459394</v>
      </c>
      <c r="F60" s="19">
        <v>1.2446637960322635</v>
      </c>
      <c r="G60" s="20">
        <v>1.0855089862295288</v>
      </c>
      <c r="H60" s="21">
        <v>0.76312137341459907</v>
      </c>
      <c r="K60" s="49" t="s">
        <v>26</v>
      </c>
      <c r="L60" s="41">
        <v>98</v>
      </c>
      <c r="M60" s="41">
        <v>8.0983927321828002</v>
      </c>
      <c r="N60" s="41"/>
      <c r="O60" s="41"/>
      <c r="P60" s="41"/>
      <c r="Q60" s="40"/>
      <c r="R60" s="40"/>
      <c r="S60" s="47"/>
    </row>
    <row r="61" spans="1:19" ht="15" thickBot="1" x14ac:dyDescent="0.35">
      <c r="A61" s="2">
        <v>0.86434582925389836</v>
      </c>
      <c r="B61" s="2">
        <v>0.79022351938563629</v>
      </c>
      <c r="D61" s="17">
        <v>0.79917939559419704</v>
      </c>
      <c r="E61" s="18">
        <v>0.87575694279633698</v>
      </c>
      <c r="F61" s="19">
        <v>1.1021133301754689</v>
      </c>
      <c r="G61" s="20">
        <v>1.5564140564649178</v>
      </c>
      <c r="H61" s="21">
        <v>2.205903911559524</v>
      </c>
      <c r="K61" s="46"/>
      <c r="L61" s="40"/>
      <c r="M61" s="40"/>
      <c r="N61" s="40"/>
      <c r="O61" s="40"/>
      <c r="P61" s="40"/>
      <c r="Q61" s="40"/>
      <c r="R61" s="40"/>
      <c r="S61" s="47"/>
    </row>
    <row r="62" spans="1:19" x14ac:dyDescent="0.3">
      <c r="A62" s="2">
        <v>0.47931622694976117</v>
      </c>
      <c r="B62" s="2">
        <v>0.42493242548929988</v>
      </c>
      <c r="D62" s="17">
        <v>0.50447728494732158</v>
      </c>
      <c r="E62" s="18">
        <v>0.69346074882412601</v>
      </c>
      <c r="F62" s="19">
        <v>0.55176947043564684</v>
      </c>
      <c r="G62" s="20">
        <v>0.44948310752737675</v>
      </c>
      <c r="H62" s="21">
        <v>1.0399470997898606</v>
      </c>
      <c r="K62" s="50"/>
      <c r="L62" s="42" t="s">
        <v>33</v>
      </c>
      <c r="M62" s="42" t="s">
        <v>21</v>
      </c>
      <c r="N62" s="42" t="s">
        <v>34</v>
      </c>
      <c r="O62" s="42" t="s">
        <v>35</v>
      </c>
      <c r="P62" s="42" t="s">
        <v>36</v>
      </c>
      <c r="Q62" s="42" t="s">
        <v>37</v>
      </c>
      <c r="R62" s="42" t="s">
        <v>38</v>
      </c>
      <c r="S62" s="51" t="s">
        <v>39</v>
      </c>
    </row>
    <row r="63" spans="1:19" x14ac:dyDescent="0.3">
      <c r="A63" s="2">
        <v>0.97329157419321743</v>
      </c>
      <c r="B63" s="2">
        <v>0.87371234976016232</v>
      </c>
      <c r="D63" s="17">
        <v>1.0543754588127592</v>
      </c>
      <c r="E63" s="18">
        <v>1.324466178758235</v>
      </c>
      <c r="F63" s="19">
        <v>1.5290815227453884</v>
      </c>
      <c r="G63" s="20">
        <v>1.7809723791145164</v>
      </c>
      <c r="H63" s="21">
        <v>1.2758493678237133</v>
      </c>
      <c r="K63" s="46" t="s">
        <v>27</v>
      </c>
      <c r="L63" s="40">
        <v>0.61448241831935801</v>
      </c>
      <c r="M63" s="40">
        <v>4.7955865888819144E-2</v>
      </c>
      <c r="N63" s="40">
        <v>12.813498556025946</v>
      </c>
      <c r="O63" s="40">
        <v>1.3869688621810497E-22</v>
      </c>
      <c r="P63" s="40">
        <v>0.51930329938444153</v>
      </c>
      <c r="Q63" s="40">
        <v>0.7096615372542745</v>
      </c>
      <c r="R63" s="40">
        <v>0.51930329938444153</v>
      </c>
      <c r="S63" s="47">
        <v>0.7096615372542745</v>
      </c>
    </row>
    <row r="64" spans="1:19" ht="15" thickBot="1" x14ac:dyDescent="0.35">
      <c r="A64" s="2">
        <v>0.18439041582405757</v>
      </c>
      <c r="B64" s="2">
        <v>0.37084690022290512</v>
      </c>
      <c r="D64" s="17">
        <v>0.60532314607576909</v>
      </c>
      <c r="E64" s="18">
        <v>0.63772729556925778</v>
      </c>
      <c r="F64" s="19">
        <v>0.91722057695186809</v>
      </c>
      <c r="G64" s="20">
        <v>0.65838225232763281</v>
      </c>
      <c r="H64" s="21">
        <v>0.69646922584699933</v>
      </c>
      <c r="K64" s="49">
        <v>0.47461267833281184</v>
      </c>
      <c r="L64" s="41">
        <v>0.52505135438915151</v>
      </c>
      <c r="M64" s="41">
        <v>7.8216061167938458E-2</v>
      </c>
      <c r="N64" s="41">
        <v>6.7128329725247697</v>
      </c>
      <c r="O64" s="41">
        <v>1.2912557687644003E-9</v>
      </c>
      <c r="P64" s="41">
        <v>0.36981412427045607</v>
      </c>
      <c r="Q64" s="41">
        <v>0.68028858450784702</v>
      </c>
      <c r="R64" s="41">
        <v>0.36981412427045607</v>
      </c>
      <c r="S64" s="52">
        <v>0.68028858450784702</v>
      </c>
    </row>
    <row r="65" spans="1:19" x14ac:dyDescent="0.3">
      <c r="A65" s="2">
        <v>0.88039956333210889</v>
      </c>
      <c r="B65" s="2">
        <v>0.77901753074964941</v>
      </c>
      <c r="D65" s="17">
        <v>0.8579969931033935</v>
      </c>
      <c r="E65" s="18">
        <v>1.1671507439711029</v>
      </c>
      <c r="F65" s="19">
        <v>1.3085680665441066</v>
      </c>
      <c r="G65" s="20">
        <v>1.1322647235994323</v>
      </c>
      <c r="H65" s="21">
        <v>1.1001907116852394</v>
      </c>
      <c r="K65" s="46"/>
      <c r="L65" s="40"/>
      <c r="M65" s="40"/>
      <c r="N65" s="40"/>
      <c r="O65" s="40"/>
      <c r="P65" s="40"/>
      <c r="Q65" s="40"/>
      <c r="R65" s="40"/>
      <c r="S65" s="47"/>
    </row>
    <row r="66" spans="1:19" x14ac:dyDescent="0.3">
      <c r="A66" s="2">
        <v>0.12530690449276005</v>
      </c>
      <c r="B66" s="2">
        <v>0.23224960445334369</v>
      </c>
      <c r="D66" s="17">
        <v>0.45899060092867994</v>
      </c>
      <c r="E66" s="18">
        <v>0.41933649878448476</v>
      </c>
      <c r="F66" s="19">
        <v>0.65898381023521524</v>
      </c>
      <c r="G66" s="20">
        <v>0.4510664582555915</v>
      </c>
      <c r="H66" s="21">
        <v>0.87810325465570949</v>
      </c>
      <c r="K66" s="46"/>
      <c r="L66" s="40"/>
      <c r="M66" s="40"/>
      <c r="N66" s="40"/>
      <c r="O66" s="40"/>
      <c r="P66" s="40"/>
      <c r="Q66" s="40"/>
      <c r="R66" s="40"/>
      <c r="S66" s="47"/>
    </row>
    <row r="67" spans="1:19" x14ac:dyDescent="0.3">
      <c r="A67" s="2">
        <v>0.5545073286885116</v>
      </c>
      <c r="B67" s="2">
        <v>0.45200995402182964</v>
      </c>
      <c r="D67" s="17">
        <v>0.67565299050189709</v>
      </c>
      <c r="E67" s="18">
        <v>0.76309058184020206</v>
      </c>
      <c r="F67" s="19">
        <v>0.58825871699494192</v>
      </c>
      <c r="G67" s="20">
        <v>0.51220969852626064</v>
      </c>
      <c r="H67" s="21">
        <v>0.82996408069928473</v>
      </c>
      <c r="K67" s="53"/>
      <c r="L67" s="54"/>
      <c r="M67" s="54"/>
      <c r="N67" s="54"/>
      <c r="O67" s="54"/>
      <c r="P67" s="54"/>
      <c r="Q67" s="54"/>
      <c r="R67" s="54"/>
      <c r="S67" s="55"/>
    </row>
    <row r="68" spans="1:19" x14ac:dyDescent="0.3">
      <c r="A68" s="2">
        <v>0.14523864847476131</v>
      </c>
      <c r="B68" s="2">
        <v>0.27047234402558801</v>
      </c>
      <c r="D68" s="17">
        <v>0.35101926976320796</v>
      </c>
      <c r="E68" s="18">
        <v>0.60133669703070081</v>
      </c>
      <c r="F68" s="19">
        <v>0.58911252580201712</v>
      </c>
      <c r="G68" s="20">
        <v>0.88771423766119417</v>
      </c>
      <c r="H68" s="21">
        <v>0.50077613729599624</v>
      </c>
    </row>
    <row r="69" spans="1:19" x14ac:dyDescent="0.3">
      <c r="A69" s="2">
        <v>0.28014076642357622</v>
      </c>
      <c r="B69" s="2">
        <v>0.30736946927796149</v>
      </c>
      <c r="D69" s="17">
        <v>0.34131384688856681</v>
      </c>
      <c r="E69" s="18">
        <v>0.42816337964682327</v>
      </c>
      <c r="F69" s="19">
        <v>0.35939814240373757</v>
      </c>
      <c r="G69" s="20">
        <v>0.33062326349875637</v>
      </c>
      <c r="H69" s="21">
        <v>0.42175652168280586</v>
      </c>
      <c r="K69" s="60" t="s">
        <v>16</v>
      </c>
      <c r="L69" s="61"/>
      <c r="M69" s="61"/>
      <c r="N69" s="61"/>
      <c r="O69" s="61"/>
      <c r="P69" s="61"/>
      <c r="Q69" s="61"/>
      <c r="R69" s="61"/>
      <c r="S69" s="62"/>
    </row>
    <row r="70" spans="1:19" ht="15" thickBot="1" x14ac:dyDescent="0.35">
      <c r="A70" s="2">
        <v>0.69389488361948504</v>
      </c>
      <c r="B70" s="2">
        <v>0.74059637393501387</v>
      </c>
      <c r="D70" s="17">
        <v>0.85311884327033072</v>
      </c>
      <c r="E70" s="18">
        <v>1.1267438411346933</v>
      </c>
      <c r="F70" s="19">
        <v>1.1809809464556813</v>
      </c>
      <c r="G70" s="20">
        <v>1.1325165792822949</v>
      </c>
      <c r="H70" s="21">
        <v>0.87569145228570888</v>
      </c>
      <c r="K70" s="63"/>
      <c r="L70" s="57"/>
      <c r="M70" s="57"/>
      <c r="N70" s="57"/>
      <c r="O70" s="57"/>
      <c r="P70" s="57"/>
      <c r="Q70" s="57"/>
      <c r="R70" s="57"/>
      <c r="S70" s="64"/>
    </row>
    <row r="71" spans="1:19" x14ac:dyDescent="0.3">
      <c r="A71" s="2">
        <v>0.63038707268410776</v>
      </c>
      <c r="B71" s="2">
        <v>0.65696374730766405</v>
      </c>
      <c r="D71" s="17">
        <v>0.72667844958420402</v>
      </c>
      <c r="E71" s="18">
        <v>0.99612071134025049</v>
      </c>
      <c r="F71" s="19">
        <v>1.3535589595217306</v>
      </c>
      <c r="G71" s="20">
        <v>1.3751868992168763</v>
      </c>
      <c r="H71" s="21">
        <v>1.3508261100336876</v>
      </c>
      <c r="K71" s="65" t="s">
        <v>17</v>
      </c>
      <c r="L71" s="56"/>
      <c r="M71" s="57"/>
      <c r="N71" s="57"/>
      <c r="O71" s="57"/>
      <c r="P71" s="57"/>
      <c r="Q71" s="57"/>
      <c r="R71" s="57"/>
      <c r="S71" s="64"/>
    </row>
    <row r="72" spans="1:19" x14ac:dyDescent="0.3">
      <c r="A72" s="2">
        <v>0.42019968489970938</v>
      </c>
      <c r="B72" s="2">
        <v>0.45500668900069818</v>
      </c>
      <c r="D72" s="17">
        <v>0.4910849112002737</v>
      </c>
      <c r="E72" s="18">
        <v>0.56224533699573587</v>
      </c>
      <c r="F72" s="19">
        <v>0.95732794001352317</v>
      </c>
      <c r="G72" s="20">
        <v>0.71288241446329492</v>
      </c>
      <c r="H72" s="21">
        <v>1.2706303011409625</v>
      </c>
      <c r="K72" s="63" t="s">
        <v>18</v>
      </c>
      <c r="L72" s="57">
        <v>0.57267766047016766</v>
      </c>
      <c r="M72" s="57"/>
      <c r="N72" s="57"/>
      <c r="O72" s="57"/>
      <c r="P72" s="57"/>
      <c r="Q72" s="57"/>
      <c r="R72" s="57"/>
      <c r="S72" s="64"/>
    </row>
    <row r="73" spans="1:19" x14ac:dyDescent="0.3">
      <c r="A73" s="2">
        <v>0.53276843023752962</v>
      </c>
      <c r="B73" s="2">
        <v>0.44181511725254541</v>
      </c>
      <c r="D73" s="17">
        <v>0.52453773626062361</v>
      </c>
      <c r="E73" s="18">
        <v>0.45742640545403257</v>
      </c>
      <c r="F73" s="19">
        <v>0.95122850945499671</v>
      </c>
      <c r="G73" s="20">
        <v>0.51818345666150323</v>
      </c>
      <c r="H73" s="21">
        <v>0.8244957361157772</v>
      </c>
      <c r="K73" s="63" t="s">
        <v>19</v>
      </c>
      <c r="L73" s="57">
        <v>0.3279597028015846</v>
      </c>
      <c r="M73" s="57"/>
      <c r="N73" s="57"/>
      <c r="O73" s="57"/>
      <c r="P73" s="57"/>
      <c r="Q73" s="57"/>
      <c r="R73" s="57"/>
      <c r="S73" s="64"/>
    </row>
    <row r="74" spans="1:19" x14ac:dyDescent="0.3">
      <c r="A74" s="2">
        <v>0.40668176161430936</v>
      </c>
      <c r="B74" s="2">
        <v>0.49732102891431551</v>
      </c>
      <c r="D74" s="17">
        <v>0.7277599479778214</v>
      </c>
      <c r="E74" s="18">
        <v>0.84117351856218991</v>
      </c>
      <c r="F74" s="19">
        <v>0.87560899476336884</v>
      </c>
      <c r="G74" s="20">
        <v>0.92143702007933681</v>
      </c>
      <c r="H74" s="21">
        <v>1.7874740624661483</v>
      </c>
      <c r="K74" s="63" t="s">
        <v>20</v>
      </c>
      <c r="L74" s="57">
        <v>0.32103145231500302</v>
      </c>
      <c r="M74" s="57"/>
      <c r="N74" s="57"/>
      <c r="O74" s="57"/>
      <c r="P74" s="57"/>
      <c r="Q74" s="57"/>
      <c r="R74" s="57"/>
      <c r="S74" s="64"/>
    </row>
    <row r="75" spans="1:19" x14ac:dyDescent="0.3">
      <c r="A75" s="2">
        <v>0.79934438448659162</v>
      </c>
      <c r="B75" s="2">
        <v>0.67077018043836301</v>
      </c>
      <c r="D75" s="17">
        <v>0.67547694931852909</v>
      </c>
      <c r="E75" s="18">
        <v>1.1328956847456699</v>
      </c>
      <c r="F75" s="19">
        <v>1.2187812176436321</v>
      </c>
      <c r="G75" s="20">
        <v>1.168943227216745</v>
      </c>
      <c r="H75" s="21">
        <v>1.9957017850792456</v>
      </c>
      <c r="K75" s="63" t="s">
        <v>21</v>
      </c>
      <c r="L75" s="57">
        <v>0.31305698520935793</v>
      </c>
      <c r="M75" s="57"/>
      <c r="N75" s="57"/>
      <c r="O75" s="57"/>
      <c r="P75" s="57"/>
      <c r="Q75" s="57"/>
      <c r="R75" s="57"/>
      <c r="S75" s="64"/>
    </row>
    <row r="76" spans="1:19" ht="15" thickBot="1" x14ac:dyDescent="0.35">
      <c r="A76" s="2">
        <v>0.86643018871094568</v>
      </c>
      <c r="B76" s="2">
        <v>0.79750737047927767</v>
      </c>
      <c r="D76" s="17">
        <v>0.9167907133791473</v>
      </c>
      <c r="E76" s="18">
        <v>1.0246016163168319</v>
      </c>
      <c r="F76" s="19">
        <v>0.98017140242696899</v>
      </c>
      <c r="G76" s="20">
        <v>1.2698926107047426</v>
      </c>
      <c r="H76" s="21">
        <v>1.036052298953948</v>
      </c>
      <c r="K76" s="66" t="s">
        <v>22</v>
      </c>
      <c r="L76" s="58">
        <v>99</v>
      </c>
      <c r="M76" s="57"/>
      <c r="N76" s="57"/>
      <c r="O76" s="57"/>
      <c r="P76" s="57"/>
      <c r="Q76" s="57"/>
      <c r="R76" s="57"/>
      <c r="S76" s="64"/>
    </row>
    <row r="77" spans="1:19" x14ac:dyDescent="0.3">
      <c r="A77" s="2">
        <v>0.8322844551991988</v>
      </c>
      <c r="B77" s="2">
        <v>0.71306985210681084</v>
      </c>
      <c r="D77" s="17">
        <v>0.87641711680597578</v>
      </c>
      <c r="E77" s="18">
        <v>1.143482346838786</v>
      </c>
      <c r="F77" s="19">
        <v>1.2484502008705585</v>
      </c>
      <c r="G77" s="20">
        <v>1.0544742326293934</v>
      </c>
      <c r="H77" s="21">
        <v>0.75032336074924055</v>
      </c>
      <c r="K77" s="63"/>
      <c r="L77" s="57"/>
      <c r="M77" s="57"/>
      <c r="N77" s="57"/>
      <c r="O77" s="57"/>
      <c r="P77" s="57"/>
      <c r="Q77" s="57"/>
      <c r="R77" s="57"/>
      <c r="S77" s="64"/>
    </row>
    <row r="78" spans="1:19" ht="15" thickBot="1" x14ac:dyDescent="0.35">
      <c r="A78" s="2">
        <v>7.96261296272609E-2</v>
      </c>
      <c r="B78" s="2">
        <v>0.22749538465698904</v>
      </c>
      <c r="D78" s="17">
        <v>0.37935541253777527</v>
      </c>
      <c r="E78" s="18">
        <v>0.68323005878194887</v>
      </c>
      <c r="F78" s="19">
        <v>0.48286485876926222</v>
      </c>
      <c r="G78" s="20">
        <v>0.66001193978113182</v>
      </c>
      <c r="H78" s="21">
        <v>0.47908552794855702</v>
      </c>
      <c r="K78" s="63" t="s">
        <v>23</v>
      </c>
      <c r="L78" s="57"/>
      <c r="M78" s="57"/>
      <c r="N78" s="57"/>
      <c r="O78" s="57"/>
      <c r="P78" s="57"/>
      <c r="Q78" s="57"/>
      <c r="R78" s="57"/>
      <c r="S78" s="64"/>
    </row>
    <row r="79" spans="1:19" x14ac:dyDescent="0.3">
      <c r="A79" s="2">
        <v>0.56647229726526283</v>
      </c>
      <c r="B79" s="2">
        <v>0.50795291188066205</v>
      </c>
      <c r="D79" s="17">
        <v>0.74589857616777588</v>
      </c>
      <c r="E79" s="18">
        <v>0.68728997514074508</v>
      </c>
      <c r="F79" s="19">
        <v>0.76684455586241618</v>
      </c>
      <c r="G79" s="20">
        <v>1.3928004259922449</v>
      </c>
      <c r="H79" s="21">
        <v>1.5391520355284527</v>
      </c>
      <c r="K79" s="67"/>
      <c r="L79" s="59" t="s">
        <v>28</v>
      </c>
      <c r="M79" s="59" t="s">
        <v>29</v>
      </c>
      <c r="N79" s="59" t="s">
        <v>30</v>
      </c>
      <c r="O79" s="59" t="s">
        <v>31</v>
      </c>
      <c r="P79" s="59" t="s">
        <v>32</v>
      </c>
      <c r="Q79" s="57"/>
      <c r="R79" s="57"/>
      <c r="S79" s="64"/>
    </row>
    <row r="80" spans="1:19" x14ac:dyDescent="0.3">
      <c r="A80" s="2">
        <v>2.593563781625885E-2</v>
      </c>
      <c r="B80" s="2">
        <v>0.19999212692780516</v>
      </c>
      <c r="D80" s="17">
        <v>0.24878525357975967</v>
      </c>
      <c r="E80" s="18">
        <v>0.25268905349071452</v>
      </c>
      <c r="F80" s="19">
        <v>0.4950621963551381</v>
      </c>
      <c r="G80" s="20">
        <v>0.56938526495392461</v>
      </c>
      <c r="H80" s="21">
        <v>1.0026053691822714</v>
      </c>
      <c r="K80" s="63" t="s">
        <v>24</v>
      </c>
      <c r="L80" s="57">
        <v>1</v>
      </c>
      <c r="M80" s="57">
        <v>4.6392064594897136</v>
      </c>
      <c r="N80" s="57">
        <v>4.6392064594897136</v>
      </c>
      <c r="O80" s="57">
        <v>47.33658279774464</v>
      </c>
      <c r="P80" s="57">
        <v>5.8833296077331174E-10</v>
      </c>
      <c r="Q80" s="57"/>
      <c r="R80" s="57"/>
      <c r="S80" s="64"/>
    </row>
    <row r="81" spans="1:19" x14ac:dyDescent="0.3">
      <c r="A81" s="2">
        <v>0.26533386820579574</v>
      </c>
      <c r="B81" s="2">
        <v>0.33876499517480929</v>
      </c>
      <c r="D81" s="17">
        <v>0.43911297916863007</v>
      </c>
      <c r="E81" s="18">
        <v>0.82852418406815742</v>
      </c>
      <c r="F81" s="19">
        <v>0.39471206903649747</v>
      </c>
      <c r="G81" s="20">
        <v>0.82206805784441406</v>
      </c>
      <c r="H81" s="21">
        <v>1.4804477411334909</v>
      </c>
      <c r="K81" s="63" t="s">
        <v>25</v>
      </c>
      <c r="L81" s="57">
        <v>97</v>
      </c>
      <c r="M81" s="57">
        <v>9.5064535708720967</v>
      </c>
      <c r="N81" s="57">
        <v>9.8004675988372134E-2</v>
      </c>
      <c r="O81" s="57"/>
      <c r="P81" s="57"/>
      <c r="Q81" s="57"/>
      <c r="R81" s="57"/>
      <c r="S81" s="64"/>
    </row>
    <row r="82" spans="1:19" ht="15" thickBot="1" x14ac:dyDescent="0.35">
      <c r="A82" s="2">
        <v>0.92004747351331806</v>
      </c>
      <c r="B82" s="2">
        <v>0.73728055118598435</v>
      </c>
      <c r="D82" s="17">
        <v>0.93321249084076663</v>
      </c>
      <c r="E82" s="18">
        <v>0.83892252437633608</v>
      </c>
      <c r="F82" s="19">
        <v>0.82156850352223509</v>
      </c>
      <c r="G82" s="20">
        <v>0.78388541826577263</v>
      </c>
      <c r="H82" s="21">
        <v>1.0970549326797987</v>
      </c>
      <c r="K82" s="66" t="s">
        <v>26</v>
      </c>
      <c r="L82" s="58">
        <v>98</v>
      </c>
      <c r="M82" s="58">
        <v>14.14566003036181</v>
      </c>
      <c r="N82" s="58"/>
      <c r="O82" s="58"/>
      <c r="P82" s="58"/>
      <c r="Q82" s="57"/>
      <c r="R82" s="57"/>
      <c r="S82" s="64"/>
    </row>
    <row r="83" spans="1:19" ht="15" thickBot="1" x14ac:dyDescent="0.35">
      <c r="A83" s="2">
        <v>0.81613985411024115</v>
      </c>
      <c r="B83" s="2">
        <v>0.6406855392789762</v>
      </c>
      <c r="D83" s="17">
        <v>0.75612798926936042</v>
      </c>
      <c r="E83" s="18">
        <v>0.98282777296018775</v>
      </c>
      <c r="F83" s="19">
        <v>0.76612916442637768</v>
      </c>
      <c r="G83" s="20">
        <v>1.0272891990138557</v>
      </c>
      <c r="H83" s="21">
        <v>1.2776186042494646</v>
      </c>
      <c r="K83" s="63"/>
      <c r="L83" s="57"/>
      <c r="M83" s="57"/>
      <c r="N83" s="57"/>
      <c r="O83" s="57"/>
      <c r="P83" s="57"/>
      <c r="Q83" s="57"/>
      <c r="R83" s="57"/>
      <c r="S83" s="64"/>
    </row>
    <row r="84" spans="1:19" x14ac:dyDescent="0.3">
      <c r="A84" s="2">
        <v>1.8552054921190053E-2</v>
      </c>
      <c r="B84" s="2">
        <v>0.26381590243427799</v>
      </c>
      <c r="D84" s="17">
        <v>0.26887659132827002</v>
      </c>
      <c r="E84" s="18">
        <v>0.27098783487550115</v>
      </c>
      <c r="F84" s="19">
        <v>0.98863971247361393</v>
      </c>
      <c r="G84" s="20">
        <v>0.78135792320358766</v>
      </c>
      <c r="H84" s="21">
        <v>0.70504404337699489</v>
      </c>
      <c r="K84" s="67"/>
      <c r="L84" s="59" t="s">
        <v>33</v>
      </c>
      <c r="M84" s="59" t="s">
        <v>21</v>
      </c>
      <c r="N84" s="59" t="s">
        <v>34</v>
      </c>
      <c r="O84" s="59" t="s">
        <v>35</v>
      </c>
      <c r="P84" s="59" t="s">
        <v>36</v>
      </c>
      <c r="Q84" s="59" t="s">
        <v>37</v>
      </c>
      <c r="R84" s="59" t="s">
        <v>38</v>
      </c>
      <c r="S84" s="68" t="s">
        <v>39</v>
      </c>
    </row>
    <row r="85" spans="1:19" x14ac:dyDescent="0.3">
      <c r="A85" s="2">
        <v>8.0727016687708097E-2</v>
      </c>
      <c r="B85" s="2">
        <v>0.30815921310839012</v>
      </c>
      <c r="D85" s="17">
        <v>0.33880896238121821</v>
      </c>
      <c r="E85" s="18">
        <v>0.4635104823058756</v>
      </c>
      <c r="F85" s="19">
        <v>0.87124570293885206</v>
      </c>
      <c r="G85" s="20">
        <v>1.2478115391972731</v>
      </c>
      <c r="H85" s="21">
        <v>1.3323309101342771</v>
      </c>
      <c r="K85" s="63" t="s">
        <v>27</v>
      </c>
      <c r="L85" s="57">
        <v>0.66584007395278222</v>
      </c>
      <c r="M85" s="57">
        <v>6.287889111489918E-2</v>
      </c>
      <c r="N85" s="57">
        <v>10.589246441004923</v>
      </c>
      <c r="O85" s="57">
        <v>7.1958877113461174E-18</v>
      </c>
      <c r="P85" s="57">
        <v>0.54104288084619312</v>
      </c>
      <c r="Q85" s="57">
        <v>0.79063726705937132</v>
      </c>
      <c r="R85" s="57">
        <v>0.54104288084619312</v>
      </c>
      <c r="S85" s="64">
        <v>0.79063726705937132</v>
      </c>
    </row>
    <row r="86" spans="1:19" ht="15" thickBot="1" x14ac:dyDescent="0.35">
      <c r="A86" s="2">
        <v>7.2974681620635473E-2</v>
      </c>
      <c r="B86" s="2">
        <v>0.25772840172413225</v>
      </c>
      <c r="D86" s="17">
        <v>0.43638153718520556</v>
      </c>
      <c r="E86" s="18">
        <v>0.73034067913576428</v>
      </c>
      <c r="F86" s="19">
        <v>0.93488618298336157</v>
      </c>
      <c r="G86" s="20">
        <v>1.1764538137595149</v>
      </c>
      <c r="H86" s="21">
        <v>0.99458699495925385</v>
      </c>
      <c r="K86" s="66">
        <v>0.47461267833281184</v>
      </c>
      <c r="L86" s="58">
        <v>0.7055983078992023</v>
      </c>
      <c r="M86" s="58">
        <v>0.10255552897360477</v>
      </c>
      <c r="N86" s="58">
        <v>6.8801586317282384</v>
      </c>
      <c r="O86" s="58">
        <v>5.8833296077332229E-10</v>
      </c>
      <c r="P86" s="58">
        <v>0.50205397169136001</v>
      </c>
      <c r="Q86" s="58">
        <v>0.9091426441070446</v>
      </c>
      <c r="R86" s="58">
        <v>0.50205397169136001</v>
      </c>
      <c r="S86" s="69">
        <v>0.9091426441070446</v>
      </c>
    </row>
    <row r="87" spans="1:19" x14ac:dyDescent="0.3">
      <c r="A87" s="2">
        <v>0.90909606162409806</v>
      </c>
      <c r="B87" s="2">
        <v>0.64810372943867733</v>
      </c>
      <c r="D87" s="17">
        <v>0.76473546485555932</v>
      </c>
      <c r="E87" s="18">
        <v>0.78991818386622714</v>
      </c>
      <c r="F87" s="19">
        <v>0.77647699420273253</v>
      </c>
      <c r="G87" s="20">
        <v>1.2849953545723389</v>
      </c>
      <c r="H87" s="21">
        <v>1.4347621735247658</v>
      </c>
      <c r="K87" s="63"/>
      <c r="L87" s="57"/>
      <c r="M87" s="57"/>
      <c r="N87" s="57"/>
      <c r="O87" s="57"/>
      <c r="P87" s="57"/>
      <c r="Q87" s="57"/>
      <c r="R87" s="57"/>
      <c r="S87" s="64"/>
    </row>
    <row r="88" spans="1:19" x14ac:dyDescent="0.3">
      <c r="A88" s="2">
        <v>0.56109074718901319</v>
      </c>
      <c r="B88" s="2">
        <v>0.51675555692790198</v>
      </c>
      <c r="D88" s="17">
        <v>0.57963852889567014</v>
      </c>
      <c r="E88" s="18">
        <v>0.70131052600235777</v>
      </c>
      <c r="F88" s="19">
        <v>1.1063122765505988</v>
      </c>
      <c r="G88" s="20">
        <v>1.4070179654415496</v>
      </c>
      <c r="H88" s="21">
        <v>0.59564449843890954</v>
      </c>
      <c r="K88" s="63"/>
      <c r="L88" s="57"/>
      <c r="M88" s="57"/>
      <c r="N88" s="57"/>
      <c r="O88" s="57"/>
      <c r="P88" s="57"/>
      <c r="Q88" s="57"/>
      <c r="R88" s="57"/>
      <c r="S88" s="64"/>
    </row>
    <row r="89" spans="1:19" x14ac:dyDescent="0.3">
      <c r="A89" s="2">
        <v>2.3926886226807498E-2</v>
      </c>
      <c r="B89" s="2">
        <v>0.13167173308608576</v>
      </c>
      <c r="D89" s="17">
        <v>0.25191063099036071</v>
      </c>
      <c r="E89" s="18">
        <v>0.21737068673965881</v>
      </c>
      <c r="F89" s="19">
        <v>0.76223116012050807</v>
      </c>
      <c r="G89" s="20">
        <v>0.13207319890829844</v>
      </c>
      <c r="H89" s="21">
        <v>0.57340602189972056</v>
      </c>
      <c r="K89" s="70"/>
      <c r="L89" s="71"/>
      <c r="M89" s="71"/>
      <c r="N89" s="71"/>
      <c r="O89" s="71"/>
      <c r="P89" s="71"/>
      <c r="Q89" s="71"/>
      <c r="R89" s="71"/>
      <c r="S89" s="72"/>
    </row>
    <row r="90" spans="1:19" x14ac:dyDescent="0.3">
      <c r="A90" s="2">
        <v>0.81651577231612948</v>
      </c>
      <c r="B90" s="2">
        <v>0.63161946937716262</v>
      </c>
      <c r="D90" s="17">
        <v>0.83665965909364337</v>
      </c>
      <c r="E90" s="18">
        <v>0.83153364790081219</v>
      </c>
      <c r="F90" s="19">
        <v>0.8120669858181131</v>
      </c>
      <c r="G90" s="20">
        <v>1.3472158547962692</v>
      </c>
      <c r="H90" s="21">
        <v>0.93946465281339875</v>
      </c>
    </row>
    <row r="91" spans="1:19" x14ac:dyDescent="0.3">
      <c r="A91" s="2">
        <v>0.85634176556674302</v>
      </c>
      <c r="B91" s="2">
        <v>0.77307095404179105</v>
      </c>
      <c r="D91" s="17">
        <v>0.9706367029614732</v>
      </c>
      <c r="E91" s="18">
        <v>0.88646673365082951</v>
      </c>
      <c r="F91" s="19">
        <v>1.3950467445009367</v>
      </c>
      <c r="G91" s="20">
        <v>1.3859553476317787</v>
      </c>
      <c r="H91" s="21">
        <v>0.98246436293832806</v>
      </c>
      <c r="K91" s="94" t="s">
        <v>16</v>
      </c>
      <c r="L91" s="95"/>
      <c r="M91" s="95"/>
      <c r="N91" s="95"/>
      <c r="O91" s="95"/>
      <c r="P91" s="95"/>
      <c r="Q91" s="95"/>
      <c r="R91" s="95"/>
      <c r="S91" s="96"/>
    </row>
    <row r="92" spans="1:19" ht="15" thickBot="1" x14ac:dyDescent="0.35">
      <c r="A92" s="2">
        <v>0.26055252619903968</v>
      </c>
      <c r="B92" s="2">
        <v>0.33394306034970411</v>
      </c>
      <c r="D92" s="17">
        <v>0.52530607620701908</v>
      </c>
      <c r="E92" s="18">
        <v>0.79075880112482677</v>
      </c>
      <c r="F92" s="19">
        <v>0.5713963041145762</v>
      </c>
      <c r="G92" s="20">
        <v>0.72110364038361197</v>
      </c>
      <c r="H92" s="21">
        <v>0.38366737528603767</v>
      </c>
      <c r="K92" s="97"/>
      <c r="L92" s="91"/>
      <c r="M92" s="91"/>
      <c r="N92" s="91"/>
      <c r="O92" s="91"/>
      <c r="P92" s="91"/>
      <c r="Q92" s="91"/>
      <c r="R92" s="91"/>
      <c r="S92" s="98"/>
    </row>
    <row r="93" spans="1:19" x14ac:dyDescent="0.3">
      <c r="A93" s="2">
        <v>0.47633629017683343</v>
      </c>
      <c r="B93" s="2">
        <v>0.51704788397609558</v>
      </c>
      <c r="D93" s="17">
        <v>0.54879150750024597</v>
      </c>
      <c r="E93" s="18">
        <v>0.58476192138778682</v>
      </c>
      <c r="F93" s="19">
        <v>0.7487985732336615</v>
      </c>
      <c r="G93" s="20">
        <v>0.61217411845814163</v>
      </c>
      <c r="H93" s="21">
        <v>0.9474479051795891</v>
      </c>
      <c r="K93" s="99" t="s">
        <v>17</v>
      </c>
      <c r="L93" s="90"/>
      <c r="M93" s="91"/>
      <c r="N93" s="91"/>
      <c r="O93" s="91"/>
      <c r="P93" s="91"/>
      <c r="Q93" s="91"/>
      <c r="R93" s="91"/>
      <c r="S93" s="98"/>
    </row>
    <row r="94" spans="1:19" x14ac:dyDescent="0.3">
      <c r="A94" s="2">
        <v>0.36871659815114866</v>
      </c>
      <c r="B94" s="2">
        <v>0.47498722303252572</v>
      </c>
      <c r="D94" s="17">
        <v>0.55727398398269568</v>
      </c>
      <c r="E94" s="18">
        <v>0.49008833796034501</v>
      </c>
      <c r="F94" s="19">
        <v>0.50236060209351219</v>
      </c>
      <c r="G94" s="20">
        <v>1.2690727544422287</v>
      </c>
      <c r="H94" s="21">
        <v>0.65426454441487025</v>
      </c>
      <c r="K94" s="97" t="s">
        <v>18</v>
      </c>
      <c r="L94" s="91">
        <v>0.43563381354502595</v>
      </c>
      <c r="M94" s="91"/>
      <c r="N94" s="91"/>
      <c r="O94" s="91"/>
      <c r="P94" s="91"/>
      <c r="Q94" s="91"/>
      <c r="R94" s="91"/>
      <c r="S94" s="98"/>
    </row>
    <row r="95" spans="1:19" x14ac:dyDescent="0.3">
      <c r="A95" s="2">
        <v>0.79999835530122965</v>
      </c>
      <c r="B95" s="2">
        <v>0.73453861724285541</v>
      </c>
      <c r="D95" s="17">
        <v>0.86368986549993898</v>
      </c>
      <c r="E95" s="18">
        <v>1.1357061234977408</v>
      </c>
      <c r="F95" s="19">
        <v>1.0484071630342902</v>
      </c>
      <c r="G95" s="20">
        <v>1.2370743693906221</v>
      </c>
      <c r="H95" s="21">
        <v>1.0477101238458582</v>
      </c>
      <c r="K95" s="97" t="s">
        <v>19</v>
      </c>
      <c r="L95" s="91">
        <v>0.18977681950378242</v>
      </c>
      <c r="M95" s="91"/>
      <c r="N95" s="91"/>
      <c r="O95" s="91"/>
      <c r="P95" s="91"/>
      <c r="Q95" s="91"/>
      <c r="R95" s="91"/>
      <c r="S95" s="98"/>
    </row>
    <row r="96" spans="1:19" x14ac:dyDescent="0.3">
      <c r="A96" s="2">
        <v>0.95699065867861133</v>
      </c>
      <c r="B96" s="2">
        <v>0.80097678521929949</v>
      </c>
      <c r="D96" s="17">
        <v>1.0485297696116604</v>
      </c>
      <c r="E96" s="18">
        <v>0.87230350795209899</v>
      </c>
      <c r="F96" s="19">
        <v>1.3085325313882072</v>
      </c>
      <c r="G96" s="20">
        <v>1.5236380059984476</v>
      </c>
      <c r="H96" s="21">
        <v>1.7621020516996728</v>
      </c>
      <c r="K96" s="97" t="s">
        <v>20</v>
      </c>
      <c r="L96" s="91">
        <v>0.18142400321000696</v>
      </c>
      <c r="M96" s="91"/>
      <c r="N96" s="91"/>
      <c r="O96" s="91"/>
      <c r="P96" s="91"/>
      <c r="Q96" s="91"/>
      <c r="R96" s="91"/>
      <c r="S96" s="98"/>
    </row>
    <row r="97" spans="1:19" x14ac:dyDescent="0.3">
      <c r="A97" s="2">
        <v>0.60657373835740036</v>
      </c>
      <c r="B97" s="2">
        <v>0.61328241223257818</v>
      </c>
      <c r="D97" s="17">
        <v>0.65417603854429174</v>
      </c>
      <c r="E97" s="18">
        <v>0.62498256611735536</v>
      </c>
      <c r="F97" s="19">
        <v>0.94544681043782575</v>
      </c>
      <c r="G97" s="20">
        <v>1.1519417538815688</v>
      </c>
      <c r="H97" s="21">
        <v>1.3908559196346759</v>
      </c>
      <c r="K97" s="97" t="s">
        <v>21</v>
      </c>
      <c r="L97" s="91">
        <v>0.3975927251220297</v>
      </c>
      <c r="M97" s="91"/>
      <c r="N97" s="91"/>
      <c r="O97" s="91"/>
      <c r="P97" s="91"/>
      <c r="Q97" s="91"/>
      <c r="R97" s="91"/>
      <c r="S97" s="98"/>
    </row>
    <row r="98" spans="1:19" ht="15" thickBot="1" x14ac:dyDescent="0.35">
      <c r="A98" s="2">
        <v>0.87287495648026114</v>
      </c>
      <c r="B98" s="2">
        <v>0.8683936499477668</v>
      </c>
      <c r="D98" s="17">
        <v>0.88173263991134898</v>
      </c>
      <c r="E98" s="18">
        <v>1.0902522925552323</v>
      </c>
      <c r="F98" s="19">
        <v>1.6114078275297588</v>
      </c>
      <c r="G98" s="20">
        <v>1.0416630757255008</v>
      </c>
      <c r="H98" s="21">
        <v>1.317957616202762</v>
      </c>
      <c r="K98" s="100" t="s">
        <v>22</v>
      </c>
      <c r="L98" s="92">
        <v>99</v>
      </c>
      <c r="M98" s="91"/>
      <c r="N98" s="91"/>
      <c r="O98" s="91"/>
      <c r="P98" s="91"/>
      <c r="Q98" s="91"/>
      <c r="R98" s="91"/>
      <c r="S98" s="98"/>
    </row>
    <row r="99" spans="1:19" x14ac:dyDescent="0.3">
      <c r="A99" s="2">
        <v>0.71668752597343455</v>
      </c>
      <c r="B99" s="2">
        <v>0.67150255200813191</v>
      </c>
      <c r="D99" s="17">
        <v>0.91184660744097035</v>
      </c>
      <c r="E99" s="18">
        <v>0.91811948349461348</v>
      </c>
      <c r="F99" s="19">
        <v>0.67395701596769486</v>
      </c>
      <c r="G99" s="20">
        <v>1.3253517610938057</v>
      </c>
      <c r="H99" s="21">
        <v>1.1858482342846723</v>
      </c>
      <c r="K99" s="97"/>
      <c r="L99" s="91"/>
      <c r="M99" s="91"/>
      <c r="N99" s="91"/>
      <c r="O99" s="91"/>
      <c r="P99" s="91"/>
      <c r="Q99" s="91"/>
      <c r="R99" s="91"/>
      <c r="S99" s="98"/>
    </row>
    <row r="100" spans="1:19" ht="15" thickBot="1" x14ac:dyDescent="0.35">
      <c r="A100" s="2">
        <v>0.46722425337628815</v>
      </c>
      <c r="B100" s="2">
        <v>0.51723516820435411</v>
      </c>
      <c r="D100" s="17">
        <v>0.76200441409767206</v>
      </c>
      <c r="E100" s="18">
        <v>0.54809623191323364</v>
      </c>
      <c r="F100" s="19">
        <v>0.61140923255571122</v>
      </c>
      <c r="G100" s="20">
        <v>1.4967976687041755</v>
      </c>
      <c r="H100" s="21">
        <v>1.1061845813502456</v>
      </c>
      <c r="K100" s="97" t="s">
        <v>23</v>
      </c>
      <c r="L100" s="91"/>
      <c r="M100" s="91"/>
      <c r="N100" s="91"/>
      <c r="O100" s="91"/>
      <c r="P100" s="91"/>
      <c r="Q100" s="91"/>
      <c r="R100" s="91"/>
      <c r="S100" s="98"/>
    </row>
    <row r="101" spans="1:19" x14ac:dyDescent="0.3">
      <c r="A101" s="2">
        <v>0.41164223720157911</v>
      </c>
      <c r="B101" s="2">
        <v>0.35653122715166752</v>
      </c>
      <c r="D101" s="17">
        <v>0.3735778491506358</v>
      </c>
      <c r="E101" s="18">
        <v>0.46264996418711157</v>
      </c>
      <c r="F101" s="19">
        <v>0.41322240904811314</v>
      </c>
      <c r="G101" s="20">
        <v>0.72823577645754667</v>
      </c>
      <c r="H101" s="21">
        <v>0.79868819320244588</v>
      </c>
      <c r="K101" s="101"/>
      <c r="L101" s="93" t="s">
        <v>28</v>
      </c>
      <c r="M101" s="93" t="s">
        <v>29</v>
      </c>
      <c r="N101" s="93" t="s">
        <v>30</v>
      </c>
      <c r="O101" s="93" t="s">
        <v>31</v>
      </c>
      <c r="P101" s="93" t="s">
        <v>32</v>
      </c>
      <c r="Q101" s="91"/>
      <c r="R101" s="91"/>
      <c r="S101" s="98"/>
    </row>
    <row r="102" spans="1:19" x14ac:dyDescent="0.3">
      <c r="K102" s="97" t="s">
        <v>24</v>
      </c>
      <c r="L102" s="91">
        <v>1</v>
      </c>
      <c r="M102" s="91">
        <v>3.591592804258207</v>
      </c>
      <c r="N102" s="91">
        <v>3.591592804258207</v>
      </c>
      <c r="O102" s="91">
        <v>22.720099763861089</v>
      </c>
      <c r="P102" s="91">
        <v>6.5851662274714777E-6</v>
      </c>
      <c r="Q102" s="91"/>
      <c r="R102" s="91"/>
      <c r="S102" s="98"/>
    </row>
    <row r="103" spans="1:19" x14ac:dyDescent="0.3">
      <c r="A103" s="109" t="s">
        <v>43</v>
      </c>
      <c r="B103" s="109"/>
      <c r="K103" s="97" t="s">
        <v>25</v>
      </c>
      <c r="L103" s="91">
        <v>97</v>
      </c>
      <c r="M103" s="91">
        <v>15.333757581786299</v>
      </c>
      <c r="N103" s="91">
        <v>0.15807997506996185</v>
      </c>
      <c r="O103" s="91"/>
      <c r="P103" s="91"/>
      <c r="Q103" s="91"/>
      <c r="R103" s="91"/>
      <c r="S103" s="98"/>
    </row>
    <row r="104" spans="1:19" ht="15" thickBot="1" x14ac:dyDescent="0.35">
      <c r="A104" s="110">
        <f>_xlfn.VAR.S(B2:B101)</f>
        <v>3.991827768472872E-2</v>
      </c>
      <c r="B104" s="110"/>
      <c r="K104" s="100" t="s">
        <v>26</v>
      </c>
      <c r="L104" s="92">
        <v>98</v>
      </c>
      <c r="M104" s="92">
        <v>18.925350386044506</v>
      </c>
      <c r="N104" s="92"/>
      <c r="O104" s="92"/>
      <c r="P104" s="92"/>
      <c r="Q104" s="91"/>
      <c r="R104" s="91"/>
      <c r="S104" s="98"/>
    </row>
    <row r="105" spans="1:19" ht="15" thickBot="1" x14ac:dyDescent="0.35">
      <c r="A105" s="108"/>
      <c r="B105" s="108"/>
      <c r="K105" s="97"/>
      <c r="L105" s="91"/>
      <c r="M105" s="91"/>
      <c r="N105" s="91"/>
      <c r="O105" s="91"/>
      <c r="P105" s="91"/>
      <c r="Q105" s="91"/>
      <c r="R105" s="91"/>
      <c r="S105" s="98"/>
    </row>
    <row r="106" spans="1:19" x14ac:dyDescent="0.3">
      <c r="A106" s="10" t="s">
        <v>54</v>
      </c>
      <c r="B106" s="2">
        <f>_xlfn.VAR.S(D2:D101)</f>
        <v>4.5852740773441099E-2</v>
      </c>
      <c r="D106" s="11" t="s">
        <v>49</v>
      </c>
      <c r="E106" s="11">
        <v>0.79004453380848372</v>
      </c>
      <c r="K106" s="101"/>
      <c r="L106" s="93" t="s">
        <v>33</v>
      </c>
      <c r="M106" s="93" t="s">
        <v>21</v>
      </c>
      <c r="N106" s="93" t="s">
        <v>34</v>
      </c>
      <c r="O106" s="93" t="s">
        <v>35</v>
      </c>
      <c r="P106" s="93" t="s">
        <v>36</v>
      </c>
      <c r="Q106" s="93" t="s">
        <v>37</v>
      </c>
      <c r="R106" s="93" t="s">
        <v>38</v>
      </c>
      <c r="S106" s="102" t="s">
        <v>39</v>
      </c>
    </row>
    <row r="107" spans="1:19" x14ac:dyDescent="0.3">
      <c r="A107" s="10" t="s">
        <v>55</v>
      </c>
      <c r="B107" s="2">
        <f>_xlfn.VAR.S(E2:E101)</f>
        <v>6.5934306931200878E-2</v>
      </c>
      <c r="D107" s="11" t="s">
        <v>50</v>
      </c>
      <c r="E107" s="11">
        <v>0.56840372439006825</v>
      </c>
      <c r="K107" s="97" t="s">
        <v>27</v>
      </c>
      <c r="L107" s="91">
        <v>0.80536967192306053</v>
      </c>
      <c r="M107" s="91">
        <v>7.9858271344129844E-2</v>
      </c>
      <c r="N107" s="91">
        <v>10.084987545654668</v>
      </c>
      <c r="O107" s="91">
        <v>8.7875895790215081E-17</v>
      </c>
      <c r="P107" s="91">
        <v>0.64687310919136998</v>
      </c>
      <c r="Q107" s="91">
        <v>0.96386623465475108</v>
      </c>
      <c r="R107" s="91">
        <v>0.64687310919136998</v>
      </c>
      <c r="S107" s="98">
        <v>0.96386623465475108</v>
      </c>
    </row>
    <row r="108" spans="1:19" ht="15" thickBot="1" x14ac:dyDescent="0.35">
      <c r="A108" s="10" t="s">
        <v>56</v>
      </c>
      <c r="B108" s="2">
        <f>_xlfn.VAR.S(F2:F101)</f>
        <v>8.2665218105117594E-2</v>
      </c>
      <c r="D108" s="11" t="s">
        <v>51</v>
      </c>
      <c r="E108" s="11">
        <v>0.31720014068364938</v>
      </c>
      <c r="K108" s="100">
        <v>0.47461267833281184</v>
      </c>
      <c r="L108" s="92">
        <v>0.62083933751108733</v>
      </c>
      <c r="M108" s="92">
        <v>0.13024891367198901</v>
      </c>
      <c r="N108" s="92">
        <v>4.7665605801102613</v>
      </c>
      <c r="O108" s="92">
        <v>6.5851662274715386E-6</v>
      </c>
      <c r="P108" s="92">
        <v>0.36233129859315694</v>
      </c>
      <c r="Q108" s="92">
        <v>0.87934737642901772</v>
      </c>
      <c r="R108" s="92">
        <v>0.36233129859315694</v>
      </c>
      <c r="S108" s="103">
        <v>0.87934737642901772</v>
      </c>
    </row>
    <row r="109" spans="1:19" x14ac:dyDescent="0.3">
      <c r="A109" s="10" t="s">
        <v>57</v>
      </c>
      <c r="B109" s="2">
        <f>_xlfn.VAR.S(G2:G101)</f>
        <v>0.14416677978379103</v>
      </c>
      <c r="D109" s="11" t="s">
        <v>52</v>
      </c>
      <c r="E109" s="11">
        <v>0.3279597028015846</v>
      </c>
      <c r="K109" s="97"/>
      <c r="L109" s="91"/>
      <c r="M109" s="91"/>
      <c r="N109" s="91"/>
      <c r="O109" s="91"/>
      <c r="P109" s="91"/>
      <c r="Q109" s="91"/>
      <c r="R109" s="91"/>
      <c r="S109" s="98"/>
    </row>
    <row r="110" spans="1:19" x14ac:dyDescent="0.3">
      <c r="A110" s="10" t="s">
        <v>58</v>
      </c>
      <c r="B110" s="2">
        <f>_xlfn.VAR.S(H2:H101)</f>
        <v>0.19654268590833979</v>
      </c>
      <c r="D110" s="11" t="s">
        <v>53</v>
      </c>
      <c r="E110" s="11">
        <v>0.18977681950378242</v>
      </c>
      <c r="K110" s="97"/>
      <c r="L110" s="91"/>
      <c r="M110" s="91"/>
      <c r="N110" s="91"/>
      <c r="O110" s="91"/>
      <c r="P110" s="91"/>
      <c r="Q110" s="91"/>
      <c r="R110" s="91"/>
      <c r="S110" s="98"/>
    </row>
    <row r="111" spans="1:19" x14ac:dyDescent="0.3">
      <c r="K111" s="104"/>
      <c r="L111" s="105"/>
      <c r="M111" s="105"/>
      <c r="N111" s="105"/>
      <c r="O111" s="105"/>
      <c r="P111" s="105"/>
      <c r="Q111" s="105"/>
      <c r="R111" s="105"/>
      <c r="S111" s="106"/>
    </row>
  </sheetData>
  <mergeCells count="3">
    <mergeCell ref="A103:B103"/>
    <mergeCell ref="A104:B104"/>
    <mergeCell ref="A105:B10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HP</cp:lastModifiedBy>
  <dcterms:created xsi:type="dcterms:W3CDTF">2015-06-05T18:17:20Z</dcterms:created>
  <dcterms:modified xsi:type="dcterms:W3CDTF">2024-08-22T13:24:01Z</dcterms:modified>
</cp:coreProperties>
</file>